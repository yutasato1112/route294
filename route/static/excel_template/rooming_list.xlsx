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4554E9E-83EA-4FAA-86FB-F43C61075204}" xr6:coauthVersionLast="47" xr6:coauthVersionMax="47" xr10:uidLastSave="{00000000-0000-0000-0000-000000000000}"/>
  <bookViews>
    <workbookView xWindow="-108" yWindow="-108" windowWidth="23256" windowHeight="13896" xr2:uid="{0FDC71D5-B24C-4DFA-97C7-B64A1A0CF6F5}"/>
  </bookViews>
  <sheets>
    <sheet name="R下妻" sheetId="2" r:id="rId1"/>
  </sheets>
  <definedNames>
    <definedName name="_xlnm.Print_Area" localSheetId="0">R下妻!$A$1:$AF$83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2" l="1"/>
  <c r="E43" i="2"/>
  <c r="AL27" i="2"/>
  <c r="AN27" i="2" s="1"/>
  <c r="AL28" i="2"/>
  <c r="AN28" i="2" s="1"/>
  <c r="E77" i="2"/>
  <c r="E68" i="2"/>
  <c r="E26" i="2"/>
  <c r="E32" i="2"/>
  <c r="E59" i="2"/>
  <c r="E7" i="2"/>
  <c r="E79" i="2"/>
  <c r="E80" i="2"/>
  <c r="E81" i="2"/>
  <c r="E70" i="2"/>
  <c r="E71" i="2"/>
  <c r="E61" i="2"/>
  <c r="E62" i="2"/>
  <c r="E34" i="2"/>
  <c r="E35" i="2"/>
  <c r="E23" i="2"/>
  <c r="E25" i="2"/>
  <c r="E5" i="2"/>
  <c r="E8" i="2"/>
  <c r="E9" i="2"/>
  <c r="E14" i="2"/>
  <c r="E16" i="2"/>
  <c r="E17" i="2"/>
  <c r="AL23" i="2"/>
  <c r="E64" i="2" l="1"/>
  <c r="E55" i="2"/>
  <c r="E28" i="2"/>
  <c r="E73" i="2"/>
  <c r="E83" i="2"/>
  <c r="E19" i="2"/>
  <c r="E37" i="2"/>
  <c r="E11" i="2"/>
  <c r="AL9" i="2"/>
  <c r="AN23" i="2"/>
  <c r="AN22" i="2"/>
  <c r="AL21" i="2"/>
  <c r="AL18" i="2"/>
  <c r="AN18" i="2" s="1"/>
  <c r="AN17" i="2"/>
  <c r="AL16" i="2"/>
  <c r="AL11" i="2"/>
  <c r="AN11" i="2" s="1"/>
  <c r="AL12" i="2" l="1"/>
  <c r="AN16" i="2"/>
  <c r="AL19" i="2"/>
  <c r="AL25" i="2"/>
  <c r="AN21" i="2"/>
  <c r="AN10" i="2"/>
  <c r="AN9" i="2"/>
  <c r="AL30" i="2" l="1"/>
  <c r="AN30" i="2"/>
  <c r="D86" i="2" s="1"/>
</calcChain>
</file>

<file path=xl/sharedStrings.xml><?xml version="1.0" encoding="utf-8"?>
<sst xmlns="http://schemas.openxmlformats.org/spreadsheetml/2006/main" count="303" uniqueCount="36">
  <si>
    <t>NCS</t>
    <phoneticPr fontId="1"/>
  </si>
  <si>
    <t>NCW</t>
    <phoneticPr fontId="1"/>
  </si>
  <si>
    <t>NCT</t>
    <phoneticPr fontId="1"/>
  </si>
  <si>
    <t>EV</t>
    <phoneticPr fontId="1"/>
  </si>
  <si>
    <t>リネン庫</t>
    <rPh sb="3" eb="4">
      <t>コ</t>
    </rPh>
    <phoneticPr fontId="1"/>
  </si>
  <si>
    <t>9F</t>
    <phoneticPr fontId="1"/>
  </si>
  <si>
    <t>NW</t>
    <phoneticPr fontId="1"/>
  </si>
  <si>
    <t>NS</t>
    <phoneticPr fontId="1"/>
  </si>
  <si>
    <t>NT</t>
    <phoneticPr fontId="1"/>
  </si>
  <si>
    <t>禁煙</t>
    <rPh sb="0" eb="2">
      <t>キンエン</t>
    </rPh>
    <phoneticPr fontId="1"/>
  </si>
  <si>
    <t>5F</t>
    <phoneticPr fontId="1"/>
  </si>
  <si>
    <t>4F</t>
    <phoneticPr fontId="1"/>
  </si>
  <si>
    <t>3F</t>
    <phoneticPr fontId="1"/>
  </si>
  <si>
    <t>2F</t>
    <phoneticPr fontId="1"/>
  </si>
  <si>
    <t>室</t>
    <rPh sb="0" eb="1">
      <t>シツ</t>
    </rPh>
    <phoneticPr fontId="1"/>
  </si>
  <si>
    <t>人</t>
    <rPh sb="0" eb="1">
      <t>ニン</t>
    </rPh>
    <phoneticPr fontId="1"/>
  </si>
  <si>
    <t xml:space="preserve">7F </t>
    <phoneticPr fontId="1"/>
  </si>
  <si>
    <t>８F</t>
    <phoneticPr fontId="1"/>
  </si>
  <si>
    <t xml:space="preserve">6F </t>
    <phoneticPr fontId="1"/>
  </si>
  <si>
    <t>階段</t>
    <rPh sb="0" eb="2">
      <t>カイダン</t>
    </rPh>
    <phoneticPr fontId="1"/>
  </si>
  <si>
    <t>10F</t>
    <phoneticPr fontId="1"/>
  </si>
  <si>
    <t>🚬</t>
    <phoneticPr fontId="1"/>
  </si>
  <si>
    <t>部屋タイプ</t>
    <rPh sb="0" eb="2">
      <t>ヘヤ</t>
    </rPh>
    <phoneticPr fontId="9"/>
  </si>
  <si>
    <t>部屋数</t>
    <rPh sb="0" eb="3">
      <t>ヘヤスウ</t>
    </rPh>
    <phoneticPr fontId="9"/>
  </si>
  <si>
    <t>定員</t>
    <rPh sb="0" eb="2">
      <t>テイイン</t>
    </rPh>
    <phoneticPr fontId="9"/>
  </si>
  <si>
    <t>収容人数</t>
    <rPh sb="0" eb="4">
      <t>シュウヨウニンズウ</t>
    </rPh>
    <phoneticPr fontId="9"/>
  </si>
  <si>
    <t>OPS</t>
    <phoneticPr fontId="1"/>
  </si>
  <si>
    <t>DXT</t>
    <phoneticPr fontId="1"/>
  </si>
  <si>
    <t>倉庫</t>
    <rPh sb="0" eb="2">
      <t>ソウコ</t>
    </rPh>
    <phoneticPr fontId="1"/>
  </si>
  <si>
    <t>喫煙(電子タバコ)</t>
    <rPh sb="0" eb="2">
      <t>キツエン</t>
    </rPh>
    <rPh sb="3" eb="5">
      <t>デンシ</t>
    </rPh>
    <phoneticPr fontId="1"/>
  </si>
  <si>
    <t>禁煙(CFR)</t>
    <rPh sb="0" eb="2">
      <t>キンエン</t>
    </rPh>
    <phoneticPr fontId="1"/>
  </si>
  <si>
    <t>計</t>
    <rPh sb="0" eb="1">
      <t>ケイ</t>
    </rPh>
    <phoneticPr fontId="1"/>
  </si>
  <si>
    <t xml:space="preserve">R下妻　ルーミングリスト </t>
    <rPh sb="1" eb="3">
      <t>シモヅマ</t>
    </rPh>
    <phoneticPr fontId="1"/>
  </si>
  <si>
    <t>ZS</t>
    <phoneticPr fontId="1"/>
  </si>
  <si>
    <t>ZW</t>
    <phoneticPr fontId="1"/>
  </si>
  <si>
    <t>ZT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</si>
</sst>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color rgb="FFFF0000"/>
      <name val="メイリオ"/>
      <family val="3"/>
      <charset val="128"/>
    </font>
    <font>
      <sz val="9"/>
      <color theme="1"/>
      <name val="Segoe UI Symbol"/>
      <family val="3"/>
    </font>
    <font>
      <sz val="11"/>
      <color theme="1"/>
      <name val="游ゴシック"/>
      <family val="2"/>
      <charset val="128"/>
      <scheme val="minor"/>
    </font>
    <font>
      <sz val="5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u/>
      <sz val="9"/>
      <color theme="1"/>
      <name val="メイリオ"/>
      <family val="3"/>
      <charset val="128"/>
    </font>
    <font>
      <sz val="6"/>
      <color theme="1"/>
      <name val="Yu Gothic"/>
      <family val="3"/>
      <charset val="128"/>
    </font>
    <font>
      <sz val="9"/>
      <name val="メイリオ"/>
      <family val="3"/>
      <charset val="128"/>
    </font>
    <font>
      <sz val="8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7EFB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892"/>
        <bgColor indexed="64"/>
      </patternFill>
    </fill>
    <fill>
      <patternFill patternType="solid">
        <fgColor rgb="FFF4D8F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4" xfId="1" applyFont="1" applyBorder="1">
      <alignment vertical="center"/>
    </xf>
    <xf numFmtId="0" fontId="2" fillId="0" borderId="0" xfId="1" applyFont="1">
      <alignment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4" fillId="0" borderId="15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16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18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0" xfId="1" applyFont="1" applyAlignment="1">
      <alignment horizontal="center" vertical="center" textRotation="255"/>
    </xf>
    <xf numFmtId="0" fontId="4" fillId="0" borderId="0" xfId="1" applyFont="1" applyAlignment="1">
      <alignment horizontal="center" vertical="center"/>
    </xf>
    <xf numFmtId="0" fontId="5" fillId="2" borderId="0" xfId="1" applyFont="1" applyFill="1">
      <alignment vertical="center"/>
    </xf>
    <xf numFmtId="0" fontId="4" fillId="0" borderId="3" xfId="1" applyFont="1" applyBorder="1">
      <alignment vertical="center"/>
    </xf>
    <xf numFmtId="0" fontId="10" fillId="0" borderId="0" xfId="1" applyFont="1">
      <alignment vertical="center"/>
    </xf>
    <xf numFmtId="0" fontId="11" fillId="4" borderId="20" xfId="1" applyFont="1" applyFill="1" applyBorder="1">
      <alignment vertical="center"/>
    </xf>
    <xf numFmtId="0" fontId="6" fillId="2" borderId="20" xfId="1" applyFont="1" applyFill="1" applyBorder="1">
      <alignment vertical="center"/>
    </xf>
    <xf numFmtId="0" fontId="4" fillId="8" borderId="21" xfId="1" applyFont="1" applyFill="1" applyBorder="1">
      <alignment vertical="center"/>
    </xf>
    <xf numFmtId="0" fontId="4" fillId="0" borderId="31" xfId="1" applyFont="1" applyBorder="1">
      <alignment vertical="center"/>
    </xf>
    <xf numFmtId="0" fontId="4" fillId="0" borderId="32" xfId="1" applyFont="1" applyBorder="1">
      <alignment vertical="center"/>
    </xf>
    <xf numFmtId="0" fontId="4" fillId="0" borderId="33" xfId="1" applyFont="1" applyBorder="1">
      <alignment vertical="center"/>
    </xf>
    <xf numFmtId="0" fontId="4" fillId="0" borderId="34" xfId="1" applyFont="1" applyBorder="1">
      <alignment vertical="center"/>
    </xf>
    <xf numFmtId="0" fontId="5" fillId="12" borderId="0" xfId="1" applyFont="1" applyFill="1">
      <alignment vertical="center"/>
    </xf>
    <xf numFmtId="0" fontId="12" fillId="5" borderId="20" xfId="1" applyFont="1" applyFill="1" applyBorder="1" applyAlignment="1">
      <alignment horizontal="center" vertical="center"/>
    </xf>
    <xf numFmtId="0" fontId="12" fillId="5" borderId="21" xfId="1" applyFont="1" applyFill="1" applyBorder="1" applyAlignment="1">
      <alignment horizontal="center" vertical="center"/>
    </xf>
    <xf numFmtId="0" fontId="12" fillId="5" borderId="27" xfId="1" applyFont="1" applyFill="1" applyBorder="1" applyAlignment="1">
      <alignment horizontal="center" vertical="center"/>
    </xf>
    <xf numFmtId="0" fontId="12" fillId="5" borderId="4" xfId="1" applyFont="1" applyFill="1" applyBorder="1" applyAlignment="1">
      <alignment horizontal="center" vertical="center"/>
    </xf>
    <xf numFmtId="0" fontId="12" fillId="5" borderId="22" xfId="1" applyFont="1" applyFill="1" applyBorder="1" applyAlignment="1">
      <alignment horizontal="center" vertical="center"/>
    </xf>
    <xf numFmtId="0" fontId="12" fillId="5" borderId="23" xfId="1" applyFont="1" applyFill="1" applyBorder="1" applyAlignment="1">
      <alignment horizontal="center" vertical="center"/>
    </xf>
    <xf numFmtId="0" fontId="4" fillId="6" borderId="20" xfId="1" applyFont="1" applyFill="1" applyBorder="1" applyAlignment="1">
      <alignment horizontal="center" vertical="center"/>
    </xf>
    <xf numFmtId="0" fontId="4" fillId="6" borderId="21" xfId="1" applyFont="1" applyFill="1" applyBorder="1" applyAlignment="1">
      <alignment horizontal="center" vertical="center"/>
    </xf>
    <xf numFmtId="0" fontId="4" fillId="6" borderId="27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22" xfId="1" applyFont="1" applyFill="1" applyBorder="1" applyAlignment="1">
      <alignment horizontal="center" vertical="center"/>
    </xf>
    <xf numFmtId="0" fontId="4" fillId="6" borderId="23" xfId="1" applyFont="1" applyFill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7" borderId="20" xfId="1" applyFont="1" applyFill="1" applyBorder="1" applyAlignment="1">
      <alignment horizontal="center" vertical="center"/>
    </xf>
    <xf numFmtId="0" fontId="4" fillId="7" borderId="21" xfId="1" applyFont="1" applyFill="1" applyBorder="1" applyAlignment="1">
      <alignment horizontal="center" vertical="center"/>
    </xf>
    <xf numFmtId="0" fontId="4" fillId="7" borderId="22" xfId="1" applyFont="1" applyFill="1" applyBorder="1" applyAlignment="1">
      <alignment horizontal="center" vertical="center"/>
    </xf>
    <xf numFmtId="0" fontId="4" fillId="7" borderId="23" xfId="1" applyFont="1" applyFill="1" applyBorder="1" applyAlignment="1">
      <alignment horizontal="center" vertical="center"/>
    </xf>
    <xf numFmtId="0" fontId="4" fillId="10" borderId="20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center" vertical="center"/>
    </xf>
    <xf numFmtId="0" fontId="4" fillId="10" borderId="21" xfId="1" applyFont="1" applyFill="1" applyBorder="1" applyAlignment="1">
      <alignment horizontal="center" vertical="center"/>
    </xf>
    <xf numFmtId="0" fontId="4" fillId="10" borderId="22" xfId="1" applyFont="1" applyFill="1" applyBorder="1" applyAlignment="1">
      <alignment horizontal="center" vertical="center"/>
    </xf>
    <xf numFmtId="0" fontId="4" fillId="10" borderId="5" xfId="1" applyFont="1" applyFill="1" applyBorder="1" applyAlignment="1">
      <alignment horizontal="center" vertical="center"/>
    </xf>
    <xf numFmtId="0" fontId="4" fillId="10" borderId="23" xfId="1" applyFont="1" applyFill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8" borderId="22" xfId="1" applyFont="1" applyFill="1" applyBorder="1" applyAlignment="1">
      <alignment horizontal="center" vertical="center"/>
    </xf>
    <xf numFmtId="0" fontId="4" fillId="8" borderId="23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3" borderId="0" xfId="1" applyFont="1" applyFill="1" applyAlignment="1">
      <alignment horizontal="center" vertical="center" textRotation="255" shrinkToFit="1"/>
    </xf>
    <xf numFmtId="0" fontId="4" fillId="0" borderId="0" xfId="1" applyFont="1" applyAlignment="1">
      <alignment horizontal="center" vertical="center" textRotation="255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11" borderId="0" xfId="1" applyFont="1" applyFill="1" applyAlignment="1">
      <alignment horizontal="center" vertical="center" textRotation="255" shrinkToFit="1"/>
    </xf>
    <xf numFmtId="0" fontId="3" fillId="5" borderId="0" xfId="1" applyFont="1" applyFill="1" applyAlignment="1">
      <alignment horizontal="center"/>
    </xf>
    <xf numFmtId="0" fontId="4" fillId="0" borderId="19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8" xfId="1" applyFont="1" applyBorder="1" applyAlignment="1">
      <alignment horizontal="right" vertical="center"/>
    </xf>
    <xf numFmtId="0" fontId="4" fillId="0" borderId="16" xfId="1" applyFont="1" applyBorder="1" applyAlignment="1">
      <alignment horizontal="right" vertical="center"/>
    </xf>
    <xf numFmtId="0" fontId="4" fillId="0" borderId="9" xfId="1" applyFont="1" applyBorder="1" applyAlignment="1">
      <alignment horizontal="right" vertical="center"/>
    </xf>
    <xf numFmtId="0" fontId="4" fillId="0" borderId="17" xfId="1" applyFont="1" applyBorder="1" applyAlignment="1">
      <alignment horizontal="right" vertical="center"/>
    </xf>
    <xf numFmtId="0" fontId="4" fillId="0" borderId="29" xfId="1" applyFont="1" applyBorder="1" applyAlignment="1">
      <alignment horizontal="right" vertical="center"/>
    </xf>
    <xf numFmtId="0" fontId="4" fillId="0" borderId="30" xfId="1" applyFont="1" applyBorder="1" applyAlignment="1">
      <alignment horizontal="right" vertical="center"/>
    </xf>
    <xf numFmtId="0" fontId="4" fillId="0" borderId="19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9" borderId="20" xfId="1" applyFont="1" applyFill="1" applyBorder="1" applyAlignment="1">
      <alignment horizontal="center" vertical="center"/>
    </xf>
    <xf numFmtId="0" fontId="4" fillId="9" borderId="21" xfId="1" applyFont="1" applyFill="1" applyBorder="1" applyAlignment="1">
      <alignment horizontal="center" vertical="center"/>
    </xf>
    <xf numFmtId="0" fontId="4" fillId="9" borderId="27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/>
    </xf>
    <xf numFmtId="0" fontId="4" fillId="9" borderId="22" xfId="1" applyFont="1" applyFill="1" applyBorder="1" applyAlignment="1">
      <alignment horizontal="center" vertical="center"/>
    </xf>
    <xf numFmtId="0" fontId="4" fillId="9" borderId="23" xfId="1" applyFont="1" applyFill="1" applyBorder="1" applyAlignment="1">
      <alignment horizontal="center" vertical="center"/>
    </xf>
  </cellXfs>
  <cellStyles count="2">
    <cellStyle name="標準" xfId="0" builtinId="0"/>
    <cellStyle name="標準 8" xfId="1" xr:uid="{B5D7D827-A232-4EEB-A9CD-D80811C9749E}"/>
  </cellStyles>
  <dxfs count="0"/>
  <tableStyles count="0" defaultTableStyle="TableStyleMedium2" defaultPivotStyle="PivotStyleLight16"/>
  <colors>
    <mruColors>
      <color rgb="FFF4D8F4"/>
      <color rgb="FFF3F892"/>
      <color rgb="FFD7EFB7"/>
      <color rgb="FFFF99FF"/>
      <color rgb="FFCC99FF"/>
      <color rgb="FFFFF2CC"/>
      <color rgb="FFF5F7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42BC-DF75-4118-9CB0-009603696052}">
  <sheetPr>
    <pageSetUpPr autoPageBreaks="0"/>
  </sheetPr>
  <dimension ref="A1:AU532"/>
  <sheetViews>
    <sheetView showGridLines="0" tabSelected="1" zoomScaleNormal="100" zoomScaleSheetLayoutView="100" workbookViewId="0">
      <selection activeCell="D87" sqref="D87"/>
    </sheetView>
  </sheetViews>
  <sheetFormatPr defaultColWidth="8.69921875" defaultRowHeight="15"/>
  <cols>
    <col min="1" max="1" width="1.296875" style="1" customWidth="1"/>
    <col min="2" max="3" width="3.796875" style="1" customWidth="1"/>
    <col min="4" max="4" width="5.59765625" style="1" customWidth="1"/>
    <col min="5" max="6" width="3.796875" style="1" customWidth="1"/>
    <col min="7" max="32" width="2.5" style="1" customWidth="1"/>
    <col min="33" max="35" width="3.796875" style="1" customWidth="1"/>
    <col min="36" max="36" width="2.296875" style="1" customWidth="1"/>
    <col min="37" max="37" width="5.19921875" style="1" customWidth="1"/>
    <col min="38" max="38" width="4" style="1" customWidth="1"/>
    <col min="39" max="39" width="2.296875" style="1" customWidth="1"/>
    <col min="40" max="40" width="3.796875" style="1" customWidth="1"/>
    <col min="41" max="46" width="2.296875" style="1" customWidth="1"/>
    <col min="47" max="16384" width="8.69921875" style="1"/>
  </cols>
  <sheetData>
    <row r="1" spans="1:40" ht="11.55" customHeight="1">
      <c r="A1" s="83" t="s">
        <v>32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</row>
    <row r="2" spans="1:40" ht="11.5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</row>
    <row r="3" spans="1:40" ht="11.4" customHeight="1"/>
    <row r="4" spans="1:40" ht="11.55" customHeight="1">
      <c r="B4" s="73" t="s">
        <v>30</v>
      </c>
      <c r="C4" s="74" t="s">
        <v>20</v>
      </c>
      <c r="G4" s="56">
        <v>1024</v>
      </c>
      <c r="H4" s="57"/>
      <c r="I4" s="56">
        <v>1022</v>
      </c>
      <c r="J4" s="57"/>
      <c r="K4" s="56">
        <v>1020</v>
      </c>
      <c r="L4" s="57"/>
      <c r="M4" s="56">
        <v>1018</v>
      </c>
      <c r="N4" s="57"/>
      <c r="O4" s="75" t="s">
        <v>19</v>
      </c>
      <c r="P4" s="76"/>
      <c r="Q4" s="56">
        <v>1014</v>
      </c>
      <c r="R4" s="57"/>
      <c r="S4" s="56">
        <v>1012</v>
      </c>
      <c r="T4" s="57"/>
      <c r="U4" s="56">
        <v>1010</v>
      </c>
      <c r="V4" s="57"/>
      <c r="W4" s="43"/>
      <c r="X4" s="44"/>
      <c r="Y4" s="49" t="s">
        <v>3</v>
      </c>
      <c r="Z4" s="50"/>
      <c r="AA4" s="43" t="s">
        <v>4</v>
      </c>
      <c r="AB4" s="53"/>
      <c r="AC4" s="56">
        <v>1004</v>
      </c>
      <c r="AD4" s="57"/>
      <c r="AE4" s="56">
        <v>1002</v>
      </c>
      <c r="AF4" s="57"/>
    </row>
    <row r="5" spans="1:40" ht="6" customHeight="1">
      <c r="B5" s="73"/>
      <c r="C5" s="74"/>
      <c r="D5" s="58" t="s">
        <v>0</v>
      </c>
      <c r="E5" s="81">
        <f>COUNTIF(G4:AF11,"NCS")</f>
        <v>12</v>
      </c>
      <c r="G5" s="37" t="s">
        <v>2</v>
      </c>
      <c r="H5" s="38"/>
      <c r="I5" s="31" t="s">
        <v>0</v>
      </c>
      <c r="J5" s="32"/>
      <c r="K5" s="31" t="s">
        <v>0</v>
      </c>
      <c r="L5" s="32"/>
      <c r="M5" s="31" t="s">
        <v>0</v>
      </c>
      <c r="N5" s="32"/>
      <c r="O5" s="77"/>
      <c r="P5" s="78"/>
      <c r="Q5" s="31" t="s">
        <v>0</v>
      </c>
      <c r="R5" s="32"/>
      <c r="S5" s="31" t="s">
        <v>0</v>
      </c>
      <c r="T5" s="32"/>
      <c r="U5" s="37" t="s">
        <v>2</v>
      </c>
      <c r="V5" s="38"/>
      <c r="W5" s="45"/>
      <c r="X5" s="46"/>
      <c r="Y5" s="51"/>
      <c r="Z5" s="52"/>
      <c r="AA5" s="45"/>
      <c r="AB5" s="54"/>
      <c r="AC5" s="31" t="s">
        <v>0</v>
      </c>
      <c r="AD5" s="32"/>
      <c r="AE5" s="37" t="s">
        <v>2</v>
      </c>
      <c r="AF5" s="38"/>
    </row>
    <row r="6" spans="1:40" ht="5.4" customHeight="1">
      <c r="B6" s="73"/>
      <c r="C6" s="74"/>
      <c r="D6" s="58"/>
      <c r="E6" s="81"/>
      <c r="G6" s="39"/>
      <c r="H6" s="40"/>
      <c r="I6" s="33"/>
      <c r="J6" s="34"/>
      <c r="K6" s="33"/>
      <c r="L6" s="34"/>
      <c r="M6" s="33"/>
      <c r="N6" s="34"/>
      <c r="O6" s="77"/>
      <c r="P6" s="78"/>
      <c r="Q6" s="33"/>
      <c r="R6" s="34"/>
      <c r="S6" s="33"/>
      <c r="T6" s="34"/>
      <c r="U6" s="39"/>
      <c r="V6" s="40"/>
      <c r="W6" s="45"/>
      <c r="X6" s="46"/>
      <c r="Y6" s="49" t="s">
        <v>3</v>
      </c>
      <c r="Z6" s="50"/>
      <c r="AA6" s="45"/>
      <c r="AB6" s="54"/>
      <c r="AC6" s="33"/>
      <c r="AD6" s="34"/>
      <c r="AE6" s="39"/>
      <c r="AF6" s="40"/>
    </row>
    <row r="7" spans="1:40" ht="11.55" customHeight="1">
      <c r="B7" s="73"/>
      <c r="C7" s="74"/>
      <c r="D7" s="1" t="s">
        <v>1</v>
      </c>
      <c r="E7" s="1">
        <f>COUNTIF(G4:AF11,"NCW")</f>
        <v>2</v>
      </c>
      <c r="G7" s="41"/>
      <c r="H7" s="42"/>
      <c r="I7" s="35"/>
      <c r="J7" s="36"/>
      <c r="K7" s="35"/>
      <c r="L7" s="36"/>
      <c r="M7" s="35"/>
      <c r="N7" s="36"/>
      <c r="O7" s="79"/>
      <c r="P7" s="80"/>
      <c r="Q7" s="35"/>
      <c r="R7" s="36"/>
      <c r="S7" s="35"/>
      <c r="T7" s="36"/>
      <c r="U7" s="41"/>
      <c r="V7" s="42"/>
      <c r="W7" s="47"/>
      <c r="X7" s="48"/>
      <c r="Y7" s="51"/>
      <c r="Z7" s="52"/>
      <c r="AA7" s="47"/>
      <c r="AB7" s="55"/>
      <c r="AC7" s="35"/>
      <c r="AD7" s="36"/>
      <c r="AE7" s="41"/>
      <c r="AF7" s="42"/>
      <c r="AK7" s="3"/>
      <c r="AL7" s="3"/>
      <c r="AM7" s="3"/>
      <c r="AN7" s="3"/>
    </row>
    <row r="8" spans="1:40" ht="11.55" customHeight="1">
      <c r="B8" s="73"/>
      <c r="C8" s="74"/>
      <c r="D8" s="1" t="s">
        <v>2</v>
      </c>
      <c r="E8" s="1">
        <f>COUNTIF(G5:AF12,"NCT")</f>
        <v>6</v>
      </c>
      <c r="AF8" s="2"/>
      <c r="AK8" s="4" t="s">
        <v>22</v>
      </c>
      <c r="AL8" s="5" t="s">
        <v>23</v>
      </c>
      <c r="AM8" s="6" t="s">
        <v>24</v>
      </c>
      <c r="AN8" s="7" t="s">
        <v>25</v>
      </c>
    </row>
    <row r="9" spans="1:40" ht="11.55" customHeight="1">
      <c r="B9" s="73"/>
      <c r="C9" s="74"/>
      <c r="D9" s="1" t="s">
        <v>27</v>
      </c>
      <c r="E9" s="1">
        <f>COUNTIF(G4:AF11,"DXT")</f>
        <v>1</v>
      </c>
      <c r="G9" s="72">
        <v>1025</v>
      </c>
      <c r="H9" s="72"/>
      <c r="I9" s="56">
        <v>1023</v>
      </c>
      <c r="J9" s="57"/>
      <c r="K9" s="56">
        <v>1021</v>
      </c>
      <c r="L9" s="57"/>
      <c r="M9" s="56">
        <v>1019</v>
      </c>
      <c r="N9" s="57"/>
      <c r="O9" s="56">
        <v>1017</v>
      </c>
      <c r="P9" s="57"/>
      <c r="Q9" s="56">
        <v>1015</v>
      </c>
      <c r="R9" s="57"/>
      <c r="S9" s="69">
        <v>1011</v>
      </c>
      <c r="T9" s="69"/>
      <c r="U9" s="69"/>
      <c r="V9" s="57"/>
      <c r="W9" s="56">
        <v>1009</v>
      </c>
      <c r="X9" s="57"/>
      <c r="Y9" s="56">
        <v>1007</v>
      </c>
      <c r="Z9" s="57"/>
      <c r="AA9" s="56">
        <v>1005</v>
      </c>
      <c r="AB9" s="57"/>
      <c r="AC9" s="56">
        <v>1003</v>
      </c>
      <c r="AD9" s="57"/>
      <c r="AE9" s="56">
        <v>1001</v>
      </c>
      <c r="AF9" s="57"/>
      <c r="AK9" s="8" t="s">
        <v>7</v>
      </c>
      <c r="AL9" s="9">
        <f>COUNTIF(G4:AF83,"NS")</f>
        <v>78</v>
      </c>
      <c r="AM9" s="10">
        <v>1</v>
      </c>
      <c r="AN9" s="11">
        <f>AL9*AM9</f>
        <v>78</v>
      </c>
    </row>
    <row r="10" spans="1:40" ht="11.55" customHeight="1">
      <c r="B10" s="73"/>
      <c r="C10" s="74"/>
      <c r="G10" s="37" t="s">
        <v>2</v>
      </c>
      <c r="H10" s="38"/>
      <c r="I10" s="31" t="s">
        <v>0</v>
      </c>
      <c r="J10" s="32"/>
      <c r="K10" s="59" t="s">
        <v>1</v>
      </c>
      <c r="L10" s="60"/>
      <c r="M10" s="31" t="s">
        <v>0</v>
      </c>
      <c r="N10" s="32"/>
      <c r="O10" s="31" t="s">
        <v>0</v>
      </c>
      <c r="P10" s="32"/>
      <c r="Q10" s="37" t="s">
        <v>2</v>
      </c>
      <c r="R10" s="38"/>
      <c r="S10" s="63" t="s">
        <v>27</v>
      </c>
      <c r="T10" s="64"/>
      <c r="U10" s="64"/>
      <c r="V10" s="65"/>
      <c r="W10" s="31" t="s">
        <v>0</v>
      </c>
      <c r="X10" s="32"/>
      <c r="Y10" s="59" t="s">
        <v>1</v>
      </c>
      <c r="Z10" s="60"/>
      <c r="AA10" s="31" t="s">
        <v>0</v>
      </c>
      <c r="AB10" s="32"/>
      <c r="AC10" s="31" t="s">
        <v>0</v>
      </c>
      <c r="AD10" s="32"/>
      <c r="AE10" s="37" t="s">
        <v>2</v>
      </c>
      <c r="AF10" s="38"/>
      <c r="AK10" s="12" t="s">
        <v>33</v>
      </c>
      <c r="AL10" s="13">
        <v>28</v>
      </c>
      <c r="AM10" s="14">
        <v>1</v>
      </c>
      <c r="AN10" s="15">
        <f t="shared" ref="AN10:AN22" si="0">AL10*AM10</f>
        <v>28</v>
      </c>
    </row>
    <row r="11" spans="1:40" ht="11.55" customHeight="1">
      <c r="B11" s="73"/>
      <c r="C11" s="74"/>
      <c r="E11" s="22">
        <f>SUM(E4:E9)</f>
        <v>21</v>
      </c>
      <c r="F11" s="22"/>
      <c r="G11" s="41"/>
      <c r="H11" s="42"/>
      <c r="I11" s="35"/>
      <c r="J11" s="36"/>
      <c r="K11" s="61"/>
      <c r="L11" s="62"/>
      <c r="M11" s="35"/>
      <c r="N11" s="36"/>
      <c r="O11" s="35"/>
      <c r="P11" s="36"/>
      <c r="Q11" s="41"/>
      <c r="R11" s="42"/>
      <c r="S11" s="66"/>
      <c r="T11" s="67"/>
      <c r="U11" s="67"/>
      <c r="V11" s="68"/>
      <c r="W11" s="35"/>
      <c r="X11" s="36"/>
      <c r="Y11" s="61"/>
      <c r="Z11" s="62"/>
      <c r="AA11" s="35"/>
      <c r="AB11" s="36"/>
      <c r="AC11" s="35"/>
      <c r="AD11" s="36"/>
      <c r="AE11" s="41"/>
      <c r="AF11" s="42"/>
      <c r="AK11" s="12" t="s">
        <v>0</v>
      </c>
      <c r="AL11" s="13">
        <f>COUNTIF(G4:AF83,"NCS")</f>
        <v>12</v>
      </c>
      <c r="AM11" s="14">
        <v>1</v>
      </c>
      <c r="AN11" s="15">
        <f t="shared" si="0"/>
        <v>12</v>
      </c>
    </row>
    <row r="12" spans="1:40" ht="11.55" customHeight="1">
      <c r="AK12" s="12" t="s">
        <v>31</v>
      </c>
      <c r="AL12" s="13">
        <f>SUM(AL8:AL11)</f>
        <v>118</v>
      </c>
      <c r="AM12" s="14"/>
      <c r="AN12" s="15"/>
    </row>
    <row r="13" spans="1:40" ht="11.55" customHeight="1">
      <c r="B13" s="73" t="s">
        <v>9</v>
      </c>
      <c r="C13" s="74" t="s">
        <v>5</v>
      </c>
      <c r="G13" s="56">
        <v>924</v>
      </c>
      <c r="H13" s="57"/>
      <c r="I13" s="56">
        <v>922</v>
      </c>
      <c r="J13" s="57"/>
      <c r="K13" s="56">
        <v>920</v>
      </c>
      <c r="L13" s="57"/>
      <c r="M13" s="56">
        <v>918</v>
      </c>
      <c r="N13" s="57"/>
      <c r="O13" s="75" t="s">
        <v>19</v>
      </c>
      <c r="P13" s="76"/>
      <c r="Q13" s="56">
        <v>914</v>
      </c>
      <c r="R13" s="57"/>
      <c r="S13" s="56">
        <v>912</v>
      </c>
      <c r="T13" s="57"/>
      <c r="U13" s="56">
        <v>910</v>
      </c>
      <c r="V13" s="57"/>
      <c r="W13" s="43"/>
      <c r="X13" s="44"/>
      <c r="Y13" s="49" t="s">
        <v>3</v>
      </c>
      <c r="Z13" s="50"/>
      <c r="AA13" s="43" t="s">
        <v>4</v>
      </c>
      <c r="AB13" s="53"/>
      <c r="AC13" s="56">
        <v>904</v>
      </c>
      <c r="AD13" s="57"/>
      <c r="AE13" s="56">
        <v>902</v>
      </c>
      <c r="AF13" s="57"/>
      <c r="AK13" s="12"/>
      <c r="AL13" s="13"/>
      <c r="AM13" s="14"/>
      <c r="AN13" s="15"/>
    </row>
    <row r="14" spans="1:40" ht="5.4" customHeight="1">
      <c r="B14" s="73"/>
      <c r="C14" s="74"/>
      <c r="D14" s="58" t="s">
        <v>7</v>
      </c>
      <c r="E14" s="81">
        <f>COUNTIF(G13:AF20,"NS")</f>
        <v>13</v>
      </c>
      <c r="G14" s="37" t="s">
        <v>8</v>
      </c>
      <c r="H14" s="38"/>
      <c r="I14" s="31" t="s">
        <v>7</v>
      </c>
      <c r="J14" s="32"/>
      <c r="K14" s="31" t="s">
        <v>7</v>
      </c>
      <c r="L14" s="32"/>
      <c r="M14" s="31" t="s">
        <v>7</v>
      </c>
      <c r="N14" s="32"/>
      <c r="O14" s="77"/>
      <c r="P14" s="78"/>
      <c r="Q14" s="31" t="s">
        <v>7</v>
      </c>
      <c r="R14" s="32"/>
      <c r="S14" s="31" t="s">
        <v>7</v>
      </c>
      <c r="T14" s="32"/>
      <c r="U14" s="37" t="s">
        <v>8</v>
      </c>
      <c r="V14" s="38"/>
      <c r="W14" s="45"/>
      <c r="X14" s="46"/>
      <c r="Y14" s="51"/>
      <c r="Z14" s="52"/>
      <c r="AA14" s="45"/>
      <c r="AB14" s="54"/>
      <c r="AC14" s="31" t="s">
        <v>7</v>
      </c>
      <c r="AD14" s="32"/>
      <c r="AE14" s="37" t="s">
        <v>8</v>
      </c>
      <c r="AF14" s="38"/>
      <c r="AK14" s="92"/>
      <c r="AL14" s="94"/>
      <c r="AM14" s="96"/>
      <c r="AN14" s="98"/>
    </row>
    <row r="15" spans="1:40" ht="6" customHeight="1">
      <c r="B15" s="73"/>
      <c r="C15" s="74"/>
      <c r="D15" s="58"/>
      <c r="E15" s="81"/>
      <c r="G15" s="39"/>
      <c r="H15" s="40"/>
      <c r="I15" s="33"/>
      <c r="J15" s="34"/>
      <c r="K15" s="33"/>
      <c r="L15" s="34"/>
      <c r="M15" s="33"/>
      <c r="N15" s="34"/>
      <c r="O15" s="77"/>
      <c r="P15" s="78"/>
      <c r="Q15" s="33"/>
      <c r="R15" s="34"/>
      <c r="S15" s="33"/>
      <c r="T15" s="34"/>
      <c r="U15" s="39"/>
      <c r="V15" s="40"/>
      <c r="W15" s="45"/>
      <c r="X15" s="46"/>
      <c r="Y15" s="49" t="s">
        <v>3</v>
      </c>
      <c r="Z15" s="50"/>
      <c r="AA15" s="45"/>
      <c r="AB15" s="54"/>
      <c r="AC15" s="33"/>
      <c r="AD15" s="34"/>
      <c r="AE15" s="39"/>
      <c r="AF15" s="40"/>
      <c r="AK15" s="93"/>
      <c r="AL15" s="95"/>
      <c r="AM15" s="97"/>
      <c r="AN15" s="99"/>
    </row>
    <row r="16" spans="1:40" ht="11.55" customHeight="1">
      <c r="B16" s="73"/>
      <c r="C16" s="74"/>
      <c r="D16" s="1" t="s">
        <v>6</v>
      </c>
      <c r="E16" s="1">
        <f>COUNTIF(G13:AF20,"NW")</f>
        <v>2</v>
      </c>
      <c r="G16" s="41"/>
      <c r="H16" s="42"/>
      <c r="I16" s="35"/>
      <c r="J16" s="36"/>
      <c r="K16" s="35"/>
      <c r="L16" s="36"/>
      <c r="M16" s="35"/>
      <c r="N16" s="36"/>
      <c r="O16" s="79"/>
      <c r="P16" s="80"/>
      <c r="Q16" s="35"/>
      <c r="R16" s="36"/>
      <c r="S16" s="35"/>
      <c r="T16" s="36"/>
      <c r="U16" s="41"/>
      <c r="V16" s="42"/>
      <c r="W16" s="47"/>
      <c r="X16" s="48"/>
      <c r="Y16" s="51"/>
      <c r="Z16" s="52"/>
      <c r="AA16" s="47"/>
      <c r="AB16" s="55"/>
      <c r="AC16" s="35"/>
      <c r="AD16" s="36"/>
      <c r="AE16" s="41"/>
      <c r="AF16" s="42"/>
      <c r="AK16" s="12" t="s">
        <v>6</v>
      </c>
      <c r="AL16" s="13">
        <f>COUNTIF(G4:AF83,"NW")</f>
        <v>12</v>
      </c>
      <c r="AM16" s="14">
        <v>2</v>
      </c>
      <c r="AN16" s="15">
        <f t="shared" si="0"/>
        <v>24</v>
      </c>
    </row>
    <row r="17" spans="2:40" ht="11.55" customHeight="1">
      <c r="B17" s="73"/>
      <c r="C17" s="74"/>
      <c r="D17" s="1" t="s">
        <v>8</v>
      </c>
      <c r="E17" s="1">
        <f>COUNTIF(G12:AF19,"NT")</f>
        <v>7</v>
      </c>
      <c r="AF17" s="2"/>
      <c r="AK17" s="12" t="s">
        <v>34</v>
      </c>
      <c r="AL17" s="13">
        <v>4</v>
      </c>
      <c r="AM17" s="14">
        <v>2</v>
      </c>
      <c r="AN17" s="15">
        <f t="shared" si="0"/>
        <v>8</v>
      </c>
    </row>
    <row r="18" spans="2:40" ht="11.55" customHeight="1">
      <c r="B18" s="73"/>
      <c r="C18" s="74"/>
      <c r="G18" s="72">
        <v>925</v>
      </c>
      <c r="H18" s="72"/>
      <c r="I18" s="56">
        <v>923</v>
      </c>
      <c r="J18" s="57"/>
      <c r="K18" s="56">
        <v>921</v>
      </c>
      <c r="L18" s="57"/>
      <c r="M18" s="56">
        <v>919</v>
      </c>
      <c r="N18" s="57"/>
      <c r="O18" s="56">
        <v>917</v>
      </c>
      <c r="P18" s="57"/>
      <c r="Q18" s="56">
        <v>915</v>
      </c>
      <c r="R18" s="57"/>
      <c r="S18" s="56">
        <v>913</v>
      </c>
      <c r="T18" s="57"/>
      <c r="U18" s="56">
        <v>911</v>
      </c>
      <c r="V18" s="57"/>
      <c r="W18" s="56">
        <v>909</v>
      </c>
      <c r="X18" s="57"/>
      <c r="Y18" s="56">
        <v>907</v>
      </c>
      <c r="Z18" s="57"/>
      <c r="AA18" s="56">
        <v>905</v>
      </c>
      <c r="AB18" s="57"/>
      <c r="AC18" s="56">
        <v>903</v>
      </c>
      <c r="AD18" s="57"/>
      <c r="AE18" s="56">
        <v>901</v>
      </c>
      <c r="AF18" s="57"/>
      <c r="AK18" s="12" t="s">
        <v>1</v>
      </c>
      <c r="AL18" s="13">
        <f>COUNTIF(G4:AF83,"NCW")</f>
        <v>2</v>
      </c>
      <c r="AM18" s="14">
        <v>2</v>
      </c>
      <c r="AN18" s="15">
        <f t="shared" si="0"/>
        <v>4</v>
      </c>
    </row>
    <row r="19" spans="2:40" ht="11.55" customHeight="1">
      <c r="B19" s="73"/>
      <c r="C19" s="74"/>
      <c r="E19" s="22">
        <f>SUM(E12:E17)</f>
        <v>22</v>
      </c>
      <c r="G19" s="37" t="s">
        <v>8</v>
      </c>
      <c r="H19" s="38"/>
      <c r="I19" s="31" t="s">
        <v>7</v>
      </c>
      <c r="J19" s="32"/>
      <c r="K19" s="59" t="s">
        <v>6</v>
      </c>
      <c r="L19" s="60"/>
      <c r="M19" s="31" t="s">
        <v>7</v>
      </c>
      <c r="N19" s="32"/>
      <c r="O19" s="31" t="s">
        <v>7</v>
      </c>
      <c r="P19" s="32"/>
      <c r="Q19" s="37" t="s">
        <v>8</v>
      </c>
      <c r="R19" s="38"/>
      <c r="S19" s="31" t="s">
        <v>7</v>
      </c>
      <c r="T19" s="32"/>
      <c r="U19" s="37" t="s">
        <v>8</v>
      </c>
      <c r="V19" s="38"/>
      <c r="W19" s="31" t="s">
        <v>7</v>
      </c>
      <c r="X19" s="32"/>
      <c r="Y19" s="59" t="s">
        <v>6</v>
      </c>
      <c r="Z19" s="60"/>
      <c r="AA19" s="31" t="s">
        <v>7</v>
      </c>
      <c r="AB19" s="32"/>
      <c r="AC19" s="31" t="s">
        <v>7</v>
      </c>
      <c r="AD19" s="32"/>
      <c r="AE19" s="37" t="s">
        <v>8</v>
      </c>
      <c r="AF19" s="38"/>
      <c r="AK19" s="12" t="s">
        <v>31</v>
      </c>
      <c r="AL19" s="13">
        <f>SUM(AL15:AL18)</f>
        <v>18</v>
      </c>
      <c r="AM19" s="14"/>
      <c r="AN19" s="15"/>
    </row>
    <row r="20" spans="2:40" ht="11.55" customHeight="1">
      <c r="B20" s="73"/>
      <c r="C20" s="74"/>
      <c r="E20" s="22"/>
      <c r="F20" s="22"/>
      <c r="G20" s="41"/>
      <c r="H20" s="42"/>
      <c r="I20" s="35"/>
      <c r="J20" s="36"/>
      <c r="K20" s="61"/>
      <c r="L20" s="62"/>
      <c r="M20" s="35"/>
      <c r="N20" s="36"/>
      <c r="O20" s="35"/>
      <c r="P20" s="36"/>
      <c r="Q20" s="41"/>
      <c r="R20" s="42"/>
      <c r="S20" s="35"/>
      <c r="T20" s="36"/>
      <c r="U20" s="41"/>
      <c r="V20" s="42"/>
      <c r="W20" s="35"/>
      <c r="X20" s="36"/>
      <c r="Y20" s="61"/>
      <c r="Z20" s="62"/>
      <c r="AA20" s="35"/>
      <c r="AB20" s="36"/>
      <c r="AC20" s="35"/>
      <c r="AD20" s="36"/>
      <c r="AE20" s="41"/>
      <c r="AF20" s="42"/>
      <c r="AK20" s="12"/>
      <c r="AL20" s="13"/>
      <c r="AM20" s="14"/>
      <c r="AN20" s="15"/>
    </row>
    <row r="21" spans="2:40" ht="11.55" customHeight="1"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K21" s="12" t="s">
        <v>8</v>
      </c>
      <c r="AL21" s="13">
        <f>COUNTIF(G4:AF83,"NT")</f>
        <v>40</v>
      </c>
      <c r="AM21" s="14">
        <v>2</v>
      </c>
      <c r="AN21" s="15">
        <f t="shared" si="0"/>
        <v>80</v>
      </c>
    </row>
    <row r="22" spans="2:40" ht="11.55" customHeight="1">
      <c r="B22" s="73" t="s">
        <v>9</v>
      </c>
      <c r="C22" s="74" t="s">
        <v>17</v>
      </c>
      <c r="G22" s="72">
        <v>824</v>
      </c>
      <c r="H22" s="72"/>
      <c r="I22" s="56">
        <v>822</v>
      </c>
      <c r="J22" s="57"/>
      <c r="K22" s="56">
        <v>820</v>
      </c>
      <c r="L22" s="57"/>
      <c r="M22" s="56">
        <v>818</v>
      </c>
      <c r="N22" s="57"/>
      <c r="O22" s="75" t="s">
        <v>19</v>
      </c>
      <c r="P22" s="76"/>
      <c r="Q22" s="56">
        <v>814</v>
      </c>
      <c r="R22" s="57"/>
      <c r="S22" s="56">
        <v>812</v>
      </c>
      <c r="T22" s="57"/>
      <c r="U22" s="56">
        <v>810</v>
      </c>
      <c r="V22" s="57"/>
      <c r="W22" s="43"/>
      <c r="X22" s="44"/>
      <c r="Y22" s="49" t="s">
        <v>3</v>
      </c>
      <c r="Z22" s="50"/>
      <c r="AA22" s="43" t="s">
        <v>4</v>
      </c>
      <c r="AB22" s="53"/>
      <c r="AC22" s="56">
        <v>804</v>
      </c>
      <c r="AD22" s="57"/>
      <c r="AE22" s="56">
        <v>802</v>
      </c>
      <c r="AF22" s="57"/>
      <c r="AK22" s="12" t="s">
        <v>35</v>
      </c>
      <c r="AL22" s="13">
        <v>12</v>
      </c>
      <c r="AM22" s="14">
        <v>2</v>
      </c>
      <c r="AN22" s="15">
        <f t="shared" si="0"/>
        <v>24</v>
      </c>
    </row>
    <row r="23" spans="2:40" ht="5.4" customHeight="1">
      <c r="B23" s="73"/>
      <c r="C23" s="74"/>
      <c r="D23" s="58" t="s">
        <v>7</v>
      </c>
      <c r="E23" s="81">
        <f>COUNTIF(G22:AF29,"NS")</f>
        <v>13</v>
      </c>
      <c r="G23" s="37" t="s">
        <v>8</v>
      </c>
      <c r="H23" s="38"/>
      <c r="I23" s="31" t="s">
        <v>7</v>
      </c>
      <c r="J23" s="32"/>
      <c r="K23" s="31" t="s">
        <v>7</v>
      </c>
      <c r="L23" s="32"/>
      <c r="M23" s="31" t="s">
        <v>7</v>
      </c>
      <c r="N23" s="32"/>
      <c r="O23" s="77"/>
      <c r="P23" s="78"/>
      <c r="Q23" s="31" t="s">
        <v>7</v>
      </c>
      <c r="R23" s="32"/>
      <c r="S23" s="31" t="s">
        <v>7</v>
      </c>
      <c r="T23" s="32"/>
      <c r="U23" s="37" t="s">
        <v>8</v>
      </c>
      <c r="V23" s="38"/>
      <c r="W23" s="45"/>
      <c r="X23" s="46"/>
      <c r="Y23" s="51"/>
      <c r="Z23" s="52"/>
      <c r="AA23" s="45"/>
      <c r="AB23" s="54"/>
      <c r="AC23" s="31" t="s">
        <v>7</v>
      </c>
      <c r="AD23" s="32"/>
      <c r="AE23" s="37" t="s">
        <v>8</v>
      </c>
      <c r="AF23" s="38"/>
      <c r="AK23" s="84" t="s">
        <v>2</v>
      </c>
      <c r="AL23" s="90">
        <f>COUNTIF(G4:AF83,"NCT")</f>
        <v>6</v>
      </c>
      <c r="AM23" s="86">
        <v>2</v>
      </c>
      <c r="AN23" s="88">
        <f>AL23*AM23</f>
        <v>12</v>
      </c>
    </row>
    <row r="24" spans="2:40" ht="5.4" customHeight="1">
      <c r="B24" s="73"/>
      <c r="C24" s="74"/>
      <c r="D24" s="58"/>
      <c r="E24" s="81"/>
      <c r="G24" s="39"/>
      <c r="H24" s="40"/>
      <c r="I24" s="33"/>
      <c r="J24" s="34"/>
      <c r="K24" s="33"/>
      <c r="L24" s="34"/>
      <c r="M24" s="33"/>
      <c r="N24" s="34"/>
      <c r="O24" s="77"/>
      <c r="P24" s="78"/>
      <c r="Q24" s="33"/>
      <c r="R24" s="34"/>
      <c r="S24" s="33"/>
      <c r="T24" s="34"/>
      <c r="U24" s="39"/>
      <c r="V24" s="40"/>
      <c r="W24" s="45"/>
      <c r="X24" s="46"/>
      <c r="Y24" s="49" t="s">
        <v>3</v>
      </c>
      <c r="Z24" s="50"/>
      <c r="AA24" s="45"/>
      <c r="AB24" s="54"/>
      <c r="AC24" s="33"/>
      <c r="AD24" s="34"/>
      <c r="AE24" s="39"/>
      <c r="AF24" s="40"/>
      <c r="AK24" s="85"/>
      <c r="AL24" s="91"/>
      <c r="AM24" s="87"/>
      <c r="AN24" s="89"/>
    </row>
    <row r="25" spans="2:40" ht="11.55" customHeight="1">
      <c r="B25" s="73"/>
      <c r="C25" s="74"/>
      <c r="D25" s="1" t="s">
        <v>6</v>
      </c>
      <c r="E25" s="1">
        <f>COUNTIF(G21:AF28,"NW")</f>
        <v>2</v>
      </c>
      <c r="G25" s="41"/>
      <c r="H25" s="42"/>
      <c r="I25" s="35"/>
      <c r="J25" s="36"/>
      <c r="K25" s="35"/>
      <c r="L25" s="36"/>
      <c r="M25" s="35"/>
      <c r="N25" s="36"/>
      <c r="O25" s="79"/>
      <c r="P25" s="80"/>
      <c r="Q25" s="35"/>
      <c r="R25" s="36"/>
      <c r="S25" s="35"/>
      <c r="T25" s="36"/>
      <c r="U25" s="41"/>
      <c r="V25" s="42"/>
      <c r="W25" s="47"/>
      <c r="X25" s="48"/>
      <c r="Y25" s="51"/>
      <c r="Z25" s="52"/>
      <c r="AA25" s="47"/>
      <c r="AB25" s="55"/>
      <c r="AC25" s="35"/>
      <c r="AD25" s="36"/>
      <c r="AE25" s="41"/>
      <c r="AF25" s="42"/>
      <c r="AK25" s="12" t="s">
        <v>31</v>
      </c>
      <c r="AL25" s="13">
        <f>SUM(AL20:AL24)</f>
        <v>58</v>
      </c>
      <c r="AM25" s="14"/>
      <c r="AN25" s="15"/>
    </row>
    <row r="26" spans="2:40" ht="11.55" customHeight="1">
      <c r="B26" s="73"/>
      <c r="C26" s="74"/>
      <c r="D26" s="1" t="s">
        <v>8</v>
      </c>
      <c r="E26" s="1">
        <f>COUNTIF(G22:AF29,"NT")</f>
        <v>7</v>
      </c>
      <c r="AF26" s="2"/>
      <c r="AK26" s="12"/>
      <c r="AL26" s="13"/>
      <c r="AM26" s="14"/>
      <c r="AN26" s="15"/>
    </row>
    <row r="27" spans="2:40" ht="11.55" customHeight="1">
      <c r="B27" s="73"/>
      <c r="C27" s="74"/>
      <c r="G27" s="72">
        <v>825</v>
      </c>
      <c r="H27" s="72"/>
      <c r="I27" s="56">
        <v>823</v>
      </c>
      <c r="J27" s="57"/>
      <c r="K27" s="56">
        <v>821</v>
      </c>
      <c r="L27" s="57"/>
      <c r="M27" s="56">
        <v>819</v>
      </c>
      <c r="N27" s="57"/>
      <c r="O27" s="56">
        <v>817</v>
      </c>
      <c r="P27" s="57"/>
      <c r="Q27" s="56">
        <v>815</v>
      </c>
      <c r="R27" s="57"/>
      <c r="S27" s="56">
        <v>813</v>
      </c>
      <c r="T27" s="57"/>
      <c r="U27" s="56">
        <v>811</v>
      </c>
      <c r="V27" s="57"/>
      <c r="W27" s="56">
        <v>809</v>
      </c>
      <c r="X27" s="57"/>
      <c r="Y27" s="56">
        <v>807</v>
      </c>
      <c r="Z27" s="57"/>
      <c r="AA27" s="56">
        <v>805</v>
      </c>
      <c r="AB27" s="57"/>
      <c r="AC27" s="56">
        <v>803</v>
      </c>
      <c r="AD27" s="57"/>
      <c r="AE27" s="56">
        <v>801</v>
      </c>
      <c r="AF27" s="57"/>
      <c r="AK27" s="12" t="s">
        <v>26</v>
      </c>
      <c r="AL27" s="13">
        <f>COUNTIF(G4:AF83,"OPS")</f>
        <v>2</v>
      </c>
      <c r="AM27" s="14">
        <v>2</v>
      </c>
      <c r="AN27" s="15">
        <f>AL27*AM27</f>
        <v>4</v>
      </c>
    </row>
    <row r="28" spans="2:40" ht="11.55" customHeight="1">
      <c r="B28" s="73"/>
      <c r="C28" s="74"/>
      <c r="E28" s="22">
        <f>SUM(E21:E26)</f>
        <v>22</v>
      </c>
      <c r="G28" s="37" t="s">
        <v>8</v>
      </c>
      <c r="H28" s="38"/>
      <c r="I28" s="31" t="s">
        <v>7</v>
      </c>
      <c r="J28" s="32"/>
      <c r="K28" s="59" t="s">
        <v>6</v>
      </c>
      <c r="L28" s="60"/>
      <c r="M28" s="31" t="s">
        <v>7</v>
      </c>
      <c r="N28" s="32"/>
      <c r="O28" s="31" t="s">
        <v>7</v>
      </c>
      <c r="P28" s="32"/>
      <c r="Q28" s="37" t="s">
        <v>8</v>
      </c>
      <c r="R28" s="38"/>
      <c r="S28" s="31" t="s">
        <v>7</v>
      </c>
      <c r="T28" s="32"/>
      <c r="U28" s="37" t="s">
        <v>8</v>
      </c>
      <c r="V28" s="38"/>
      <c r="W28" s="31" t="s">
        <v>7</v>
      </c>
      <c r="X28" s="32"/>
      <c r="Y28" s="59" t="s">
        <v>6</v>
      </c>
      <c r="Z28" s="60"/>
      <c r="AA28" s="31" t="s">
        <v>7</v>
      </c>
      <c r="AB28" s="32"/>
      <c r="AC28" s="31" t="s">
        <v>7</v>
      </c>
      <c r="AD28" s="32"/>
      <c r="AE28" s="37" t="s">
        <v>8</v>
      </c>
      <c r="AF28" s="38"/>
      <c r="AK28" s="12" t="s">
        <v>27</v>
      </c>
      <c r="AL28" s="17">
        <f>COUNTIF(G4:AF83,"DXT")</f>
        <v>1</v>
      </c>
      <c r="AM28" s="14">
        <v>3</v>
      </c>
      <c r="AN28" s="15">
        <f>AL28*AM28</f>
        <v>3</v>
      </c>
    </row>
    <row r="29" spans="2:40" ht="11.55" customHeight="1">
      <c r="B29" s="73"/>
      <c r="C29" s="74"/>
      <c r="E29" s="22"/>
      <c r="F29" s="22"/>
      <c r="G29" s="41"/>
      <c r="H29" s="42"/>
      <c r="I29" s="35"/>
      <c r="J29" s="36"/>
      <c r="K29" s="61"/>
      <c r="L29" s="62"/>
      <c r="M29" s="35"/>
      <c r="N29" s="36"/>
      <c r="O29" s="35"/>
      <c r="P29" s="36"/>
      <c r="Q29" s="41"/>
      <c r="R29" s="42"/>
      <c r="S29" s="35"/>
      <c r="T29" s="36"/>
      <c r="U29" s="41"/>
      <c r="V29" s="42"/>
      <c r="W29" s="35"/>
      <c r="X29" s="36"/>
      <c r="Y29" s="61"/>
      <c r="Z29" s="62"/>
      <c r="AA29" s="35"/>
      <c r="AB29" s="36"/>
      <c r="AC29" s="35"/>
      <c r="AD29" s="36"/>
      <c r="AE29" s="41"/>
      <c r="AF29" s="42"/>
      <c r="AK29" s="12"/>
      <c r="AL29" s="13"/>
      <c r="AM29" s="14"/>
      <c r="AN29" s="15"/>
    </row>
    <row r="30" spans="2:40" ht="11.55" customHeight="1"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K30" s="26"/>
      <c r="AL30" s="27">
        <f>SUM(AL12,AL19,AL25,AL27,AL28)</f>
        <v>197</v>
      </c>
      <c r="AM30" s="28"/>
      <c r="AN30" s="29">
        <f>SUM(AN9:AN28)</f>
        <v>277</v>
      </c>
    </row>
    <row r="31" spans="2:40" ht="11.55" customHeight="1">
      <c r="B31" s="73" t="s">
        <v>9</v>
      </c>
      <c r="C31" s="74" t="s">
        <v>16</v>
      </c>
      <c r="G31" s="72">
        <v>724</v>
      </c>
      <c r="H31" s="72"/>
      <c r="I31" s="56">
        <v>722</v>
      </c>
      <c r="J31" s="57"/>
      <c r="K31" s="56">
        <v>720</v>
      </c>
      <c r="L31" s="57"/>
      <c r="M31" s="56">
        <v>718</v>
      </c>
      <c r="N31" s="57"/>
      <c r="O31" s="75" t="s">
        <v>19</v>
      </c>
      <c r="P31" s="76"/>
      <c r="Q31" s="56">
        <v>714</v>
      </c>
      <c r="R31" s="57"/>
      <c r="S31" s="56">
        <v>712</v>
      </c>
      <c r="T31" s="57"/>
      <c r="U31" s="56">
        <v>710</v>
      </c>
      <c r="V31" s="57"/>
      <c r="W31" s="43"/>
      <c r="X31" s="44"/>
      <c r="Y31" s="49" t="s">
        <v>3</v>
      </c>
      <c r="Z31" s="50"/>
      <c r="AA31" s="43" t="s">
        <v>4</v>
      </c>
      <c r="AB31" s="53"/>
      <c r="AC31" s="56">
        <v>704</v>
      </c>
      <c r="AD31" s="57"/>
      <c r="AE31" s="56">
        <v>702</v>
      </c>
      <c r="AF31" s="57"/>
    </row>
    <row r="32" spans="2:40" ht="5.4" customHeight="1">
      <c r="B32" s="73"/>
      <c r="C32" s="74"/>
      <c r="D32" s="58" t="s">
        <v>7</v>
      </c>
      <c r="E32" s="81">
        <f>COUNTIF(G31:AF38,"NS")</f>
        <v>13</v>
      </c>
      <c r="G32" s="37" t="s">
        <v>8</v>
      </c>
      <c r="H32" s="38"/>
      <c r="I32" s="31" t="s">
        <v>7</v>
      </c>
      <c r="J32" s="32"/>
      <c r="K32" s="31" t="s">
        <v>7</v>
      </c>
      <c r="L32" s="32"/>
      <c r="M32" s="31" t="s">
        <v>7</v>
      </c>
      <c r="N32" s="32"/>
      <c r="O32" s="77"/>
      <c r="P32" s="78"/>
      <c r="Q32" s="31" t="s">
        <v>7</v>
      </c>
      <c r="R32" s="32"/>
      <c r="S32" s="31" t="s">
        <v>7</v>
      </c>
      <c r="T32" s="32"/>
      <c r="U32" s="37" t="s">
        <v>8</v>
      </c>
      <c r="V32" s="38"/>
      <c r="W32" s="45"/>
      <c r="X32" s="46"/>
      <c r="Y32" s="51"/>
      <c r="Z32" s="52"/>
      <c r="AA32" s="45"/>
      <c r="AB32" s="54"/>
      <c r="AC32" s="31" t="s">
        <v>7</v>
      </c>
      <c r="AD32" s="32"/>
      <c r="AE32" s="37" t="s">
        <v>8</v>
      </c>
      <c r="AF32" s="38"/>
    </row>
    <row r="33" spans="2:32" ht="6" customHeight="1">
      <c r="B33" s="73"/>
      <c r="C33" s="74"/>
      <c r="D33" s="58"/>
      <c r="E33" s="81"/>
      <c r="G33" s="39"/>
      <c r="H33" s="40"/>
      <c r="I33" s="33"/>
      <c r="J33" s="34"/>
      <c r="K33" s="33"/>
      <c r="L33" s="34"/>
      <c r="M33" s="33"/>
      <c r="N33" s="34"/>
      <c r="O33" s="77"/>
      <c r="P33" s="78"/>
      <c r="Q33" s="33"/>
      <c r="R33" s="34"/>
      <c r="S33" s="33"/>
      <c r="T33" s="34"/>
      <c r="U33" s="39"/>
      <c r="V33" s="40"/>
      <c r="W33" s="45"/>
      <c r="X33" s="46"/>
      <c r="Y33" s="49" t="s">
        <v>3</v>
      </c>
      <c r="Z33" s="50"/>
      <c r="AA33" s="45"/>
      <c r="AB33" s="54"/>
      <c r="AC33" s="33"/>
      <c r="AD33" s="34"/>
      <c r="AE33" s="39"/>
      <c r="AF33" s="40"/>
    </row>
    <row r="34" spans="2:32" ht="11.55" customHeight="1">
      <c r="B34" s="73"/>
      <c r="C34" s="74"/>
      <c r="D34" s="1" t="s">
        <v>6</v>
      </c>
      <c r="E34" s="1">
        <f>COUNTIF(G33:AF39,"NW")</f>
        <v>2</v>
      </c>
      <c r="G34" s="41"/>
      <c r="H34" s="42"/>
      <c r="I34" s="35"/>
      <c r="J34" s="36"/>
      <c r="K34" s="35"/>
      <c r="L34" s="36"/>
      <c r="M34" s="35"/>
      <c r="N34" s="36"/>
      <c r="O34" s="79"/>
      <c r="P34" s="80"/>
      <c r="Q34" s="35"/>
      <c r="R34" s="36"/>
      <c r="S34" s="35"/>
      <c r="T34" s="36"/>
      <c r="U34" s="41"/>
      <c r="V34" s="42"/>
      <c r="W34" s="47"/>
      <c r="X34" s="48"/>
      <c r="Y34" s="51"/>
      <c r="Z34" s="52"/>
      <c r="AA34" s="47"/>
      <c r="AB34" s="55"/>
      <c r="AC34" s="35"/>
      <c r="AD34" s="36"/>
      <c r="AE34" s="41"/>
      <c r="AF34" s="42"/>
    </row>
    <row r="35" spans="2:32" ht="11.55" customHeight="1">
      <c r="B35" s="73"/>
      <c r="C35" s="74"/>
      <c r="D35" s="1" t="s">
        <v>8</v>
      </c>
      <c r="E35" s="1">
        <f>COUNTIF(G31:AF38,"NT")</f>
        <v>7</v>
      </c>
      <c r="AF35" s="2"/>
    </row>
    <row r="36" spans="2:32" ht="11.55" customHeight="1">
      <c r="B36" s="73"/>
      <c r="C36" s="74"/>
      <c r="G36" s="72">
        <v>725</v>
      </c>
      <c r="H36" s="72"/>
      <c r="I36" s="56">
        <v>723</v>
      </c>
      <c r="J36" s="57"/>
      <c r="K36" s="56">
        <v>721</v>
      </c>
      <c r="L36" s="57"/>
      <c r="M36" s="56">
        <v>719</v>
      </c>
      <c r="N36" s="57"/>
      <c r="O36" s="56">
        <v>717</v>
      </c>
      <c r="P36" s="57"/>
      <c r="Q36" s="56">
        <v>715</v>
      </c>
      <c r="R36" s="57"/>
      <c r="S36" s="56">
        <v>713</v>
      </c>
      <c r="T36" s="57"/>
      <c r="U36" s="56">
        <v>711</v>
      </c>
      <c r="V36" s="57"/>
      <c r="W36" s="56">
        <v>709</v>
      </c>
      <c r="X36" s="57"/>
      <c r="Y36" s="56">
        <v>707</v>
      </c>
      <c r="Z36" s="57"/>
      <c r="AA36" s="56">
        <v>705</v>
      </c>
      <c r="AB36" s="57"/>
      <c r="AC36" s="56">
        <v>703</v>
      </c>
      <c r="AD36" s="57"/>
      <c r="AE36" s="56">
        <v>701</v>
      </c>
      <c r="AF36" s="57"/>
    </row>
    <row r="37" spans="2:32" ht="11.55" customHeight="1">
      <c r="B37" s="73"/>
      <c r="C37" s="74"/>
      <c r="E37" s="22">
        <f>SUM(E30:F35)</f>
        <v>22</v>
      </c>
      <c r="G37" s="37" t="s">
        <v>8</v>
      </c>
      <c r="H37" s="38"/>
      <c r="I37" s="31" t="s">
        <v>7</v>
      </c>
      <c r="J37" s="32"/>
      <c r="K37" s="59" t="s">
        <v>6</v>
      </c>
      <c r="L37" s="60"/>
      <c r="M37" s="31" t="s">
        <v>7</v>
      </c>
      <c r="N37" s="32"/>
      <c r="O37" s="31" t="s">
        <v>7</v>
      </c>
      <c r="P37" s="32"/>
      <c r="Q37" s="37" t="s">
        <v>8</v>
      </c>
      <c r="R37" s="38"/>
      <c r="S37" s="31" t="s">
        <v>7</v>
      </c>
      <c r="T37" s="32"/>
      <c r="U37" s="37" t="s">
        <v>8</v>
      </c>
      <c r="V37" s="38"/>
      <c r="W37" s="31" t="s">
        <v>7</v>
      </c>
      <c r="X37" s="32"/>
      <c r="Y37" s="59" t="s">
        <v>6</v>
      </c>
      <c r="Z37" s="60"/>
      <c r="AA37" s="31" t="s">
        <v>7</v>
      </c>
      <c r="AB37" s="32"/>
      <c r="AC37" s="31" t="s">
        <v>7</v>
      </c>
      <c r="AD37" s="32"/>
      <c r="AE37" s="37" t="s">
        <v>8</v>
      </c>
      <c r="AF37" s="38"/>
    </row>
    <row r="38" spans="2:32" ht="11.55" customHeight="1">
      <c r="B38" s="73"/>
      <c r="C38" s="74"/>
      <c r="E38" s="22"/>
      <c r="F38" s="22"/>
      <c r="G38" s="41"/>
      <c r="H38" s="42"/>
      <c r="I38" s="35"/>
      <c r="J38" s="36"/>
      <c r="K38" s="61"/>
      <c r="L38" s="62"/>
      <c r="M38" s="35"/>
      <c r="N38" s="36"/>
      <c r="O38" s="35"/>
      <c r="P38" s="36"/>
      <c r="Q38" s="41"/>
      <c r="R38" s="42"/>
      <c r="S38" s="35"/>
      <c r="T38" s="36"/>
      <c r="U38" s="41"/>
      <c r="V38" s="42"/>
      <c r="W38" s="35"/>
      <c r="X38" s="36"/>
      <c r="Y38" s="61"/>
      <c r="Z38" s="62"/>
      <c r="AA38" s="35"/>
      <c r="AB38" s="36"/>
      <c r="AC38" s="35"/>
      <c r="AD38" s="36"/>
      <c r="AE38" s="41"/>
      <c r="AF38" s="42"/>
    </row>
    <row r="39" spans="2:32" ht="11.55" customHeight="1"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2:32" ht="11.55" customHeight="1">
      <c r="B40" s="82" t="s">
        <v>29</v>
      </c>
      <c r="C40" s="74" t="s">
        <v>18</v>
      </c>
      <c r="G40" s="72">
        <v>624</v>
      </c>
      <c r="H40" s="72"/>
      <c r="I40" s="56">
        <v>622</v>
      </c>
      <c r="J40" s="57"/>
      <c r="K40" s="56">
        <v>620</v>
      </c>
      <c r="L40" s="57"/>
      <c r="M40" s="56">
        <v>618</v>
      </c>
      <c r="N40" s="57"/>
      <c r="O40" s="75" t="s">
        <v>19</v>
      </c>
      <c r="P40" s="76"/>
      <c r="Q40" s="56">
        <v>614</v>
      </c>
      <c r="R40" s="57"/>
      <c r="S40" s="56">
        <v>612</v>
      </c>
      <c r="T40" s="57"/>
      <c r="U40" s="56">
        <v>610</v>
      </c>
      <c r="V40" s="57"/>
      <c r="W40" s="43"/>
      <c r="X40" s="44"/>
      <c r="Y40" s="49" t="s">
        <v>3</v>
      </c>
      <c r="Z40" s="50"/>
      <c r="AA40" s="43" t="s">
        <v>4</v>
      </c>
      <c r="AB40" s="53"/>
      <c r="AC40" s="56">
        <v>604</v>
      </c>
      <c r="AD40" s="57"/>
      <c r="AE40" s="56">
        <v>602</v>
      </c>
      <c r="AF40" s="57"/>
    </row>
    <row r="41" spans="2:32" ht="5.4" customHeight="1">
      <c r="B41" s="82"/>
      <c r="C41" s="74"/>
      <c r="D41" s="58" t="s">
        <v>33</v>
      </c>
      <c r="E41" s="81">
        <v>14</v>
      </c>
      <c r="G41" s="37" t="s">
        <v>35</v>
      </c>
      <c r="H41" s="38"/>
      <c r="I41" s="31" t="s">
        <v>33</v>
      </c>
      <c r="J41" s="32"/>
      <c r="K41" s="31" t="s">
        <v>33</v>
      </c>
      <c r="L41" s="32"/>
      <c r="M41" s="31" t="s">
        <v>33</v>
      </c>
      <c r="N41" s="32"/>
      <c r="O41" s="77"/>
      <c r="P41" s="78"/>
      <c r="Q41" s="31" t="s">
        <v>33</v>
      </c>
      <c r="R41" s="32"/>
      <c r="S41" s="31" t="s">
        <v>33</v>
      </c>
      <c r="T41" s="32"/>
      <c r="U41" s="37" t="s">
        <v>35</v>
      </c>
      <c r="V41" s="38"/>
      <c r="W41" s="45"/>
      <c r="X41" s="46"/>
      <c r="Y41" s="51"/>
      <c r="Z41" s="52"/>
      <c r="AA41" s="45"/>
      <c r="AB41" s="54"/>
      <c r="AC41" s="31" t="s">
        <v>33</v>
      </c>
      <c r="AD41" s="32"/>
      <c r="AE41" s="37" t="s">
        <v>35</v>
      </c>
      <c r="AF41" s="38"/>
    </row>
    <row r="42" spans="2:32" ht="6" customHeight="1">
      <c r="B42" s="82"/>
      <c r="C42" s="74"/>
      <c r="D42" s="58"/>
      <c r="E42" s="81"/>
      <c r="G42" s="39"/>
      <c r="H42" s="40"/>
      <c r="I42" s="33"/>
      <c r="J42" s="34"/>
      <c r="K42" s="33"/>
      <c r="L42" s="34"/>
      <c r="M42" s="33"/>
      <c r="N42" s="34"/>
      <c r="O42" s="77"/>
      <c r="P42" s="78"/>
      <c r="Q42" s="33"/>
      <c r="R42" s="34"/>
      <c r="S42" s="33"/>
      <c r="T42" s="34"/>
      <c r="U42" s="39"/>
      <c r="V42" s="40"/>
      <c r="W42" s="45"/>
      <c r="X42" s="46"/>
      <c r="Y42" s="49" t="s">
        <v>3</v>
      </c>
      <c r="Z42" s="50"/>
      <c r="AA42" s="45"/>
      <c r="AB42" s="54"/>
      <c r="AC42" s="33"/>
      <c r="AD42" s="34"/>
      <c r="AE42" s="39"/>
      <c r="AF42" s="40"/>
    </row>
    <row r="43" spans="2:32" ht="11.55" customHeight="1">
      <c r="B43" s="82"/>
      <c r="C43" s="74"/>
      <c r="D43" s="1" t="s">
        <v>34</v>
      </c>
      <c r="E43" s="1">
        <f>COUNTIF(G42:AF48,"ZW")</f>
        <v>2</v>
      </c>
      <c r="G43" s="41"/>
      <c r="H43" s="42"/>
      <c r="I43" s="35"/>
      <c r="J43" s="36"/>
      <c r="K43" s="35"/>
      <c r="L43" s="36"/>
      <c r="M43" s="35"/>
      <c r="N43" s="36"/>
      <c r="O43" s="79"/>
      <c r="P43" s="80"/>
      <c r="Q43" s="35"/>
      <c r="R43" s="36"/>
      <c r="S43" s="35"/>
      <c r="T43" s="36"/>
      <c r="U43" s="41"/>
      <c r="V43" s="42"/>
      <c r="W43" s="47"/>
      <c r="X43" s="48"/>
      <c r="Y43" s="51"/>
      <c r="Z43" s="52"/>
      <c r="AA43" s="47"/>
      <c r="AB43" s="55"/>
      <c r="AC43" s="35"/>
      <c r="AD43" s="36"/>
      <c r="AE43" s="41"/>
      <c r="AF43" s="42"/>
    </row>
    <row r="44" spans="2:32" ht="11.55" customHeight="1">
      <c r="B44" s="82"/>
      <c r="C44" s="74"/>
      <c r="D44" s="1" t="s">
        <v>35</v>
      </c>
      <c r="E44" s="1">
        <v>6</v>
      </c>
      <c r="AF44" s="2"/>
    </row>
    <row r="45" spans="2:32" ht="11.55" customHeight="1">
      <c r="B45" s="82"/>
      <c r="C45" s="74"/>
      <c r="G45" s="56">
        <v>625</v>
      </c>
      <c r="H45" s="57"/>
      <c r="I45" s="56">
        <v>623</v>
      </c>
      <c r="J45" s="57"/>
      <c r="K45" s="56">
        <v>621</v>
      </c>
      <c r="L45" s="57"/>
      <c r="M45" s="56">
        <v>619</v>
      </c>
      <c r="N45" s="57"/>
      <c r="O45" s="56">
        <v>617</v>
      </c>
      <c r="P45" s="57"/>
      <c r="Q45" s="56">
        <v>615</v>
      </c>
      <c r="R45" s="57"/>
      <c r="S45" s="56">
        <v>613</v>
      </c>
      <c r="T45" s="57"/>
      <c r="U45" s="56">
        <v>611</v>
      </c>
      <c r="V45" s="57"/>
      <c r="W45" s="56">
        <v>609</v>
      </c>
      <c r="X45" s="57"/>
      <c r="Y45" s="56">
        <v>607</v>
      </c>
      <c r="Z45" s="57"/>
      <c r="AA45" s="56">
        <v>605</v>
      </c>
      <c r="AB45" s="57"/>
      <c r="AC45" s="56">
        <v>603</v>
      </c>
      <c r="AD45" s="57"/>
      <c r="AE45" s="56">
        <v>601</v>
      </c>
      <c r="AF45" s="57"/>
    </row>
    <row r="46" spans="2:32" ht="11.55" customHeight="1">
      <c r="B46" s="82"/>
      <c r="C46" s="74"/>
      <c r="E46" s="22"/>
      <c r="G46" s="37" t="s">
        <v>35</v>
      </c>
      <c r="H46" s="38"/>
      <c r="I46" s="31" t="s">
        <v>33</v>
      </c>
      <c r="J46" s="32"/>
      <c r="K46" s="59" t="s">
        <v>34</v>
      </c>
      <c r="L46" s="60"/>
      <c r="M46" s="31" t="s">
        <v>33</v>
      </c>
      <c r="N46" s="32"/>
      <c r="O46" s="31" t="s">
        <v>33</v>
      </c>
      <c r="P46" s="32"/>
      <c r="Q46" s="37" t="s">
        <v>35</v>
      </c>
      <c r="R46" s="38"/>
      <c r="S46" s="31" t="s">
        <v>33</v>
      </c>
      <c r="T46" s="32"/>
      <c r="U46" s="23" t="s">
        <v>28</v>
      </c>
      <c r="V46" s="25"/>
      <c r="W46" s="31" t="s">
        <v>33</v>
      </c>
      <c r="X46" s="32"/>
      <c r="Y46" s="59" t="s">
        <v>34</v>
      </c>
      <c r="Z46" s="60"/>
      <c r="AA46" s="31" t="s">
        <v>33</v>
      </c>
      <c r="AB46" s="32"/>
      <c r="AC46" s="31" t="s">
        <v>33</v>
      </c>
      <c r="AD46" s="32"/>
      <c r="AE46" s="37" t="s">
        <v>35</v>
      </c>
      <c r="AF46" s="38"/>
    </row>
    <row r="47" spans="2:32" ht="11.55" customHeight="1">
      <c r="B47" s="82"/>
      <c r="C47" s="74"/>
      <c r="E47" s="22"/>
      <c r="F47" s="22"/>
      <c r="G47" s="41"/>
      <c r="H47" s="42"/>
      <c r="I47" s="35"/>
      <c r="J47" s="36"/>
      <c r="K47" s="61"/>
      <c r="L47" s="62"/>
      <c r="M47" s="35"/>
      <c r="N47" s="36"/>
      <c r="O47" s="35"/>
      <c r="P47" s="36"/>
      <c r="Q47" s="41"/>
      <c r="R47" s="42"/>
      <c r="S47" s="35"/>
      <c r="T47" s="36"/>
      <c r="U47" s="70" t="s">
        <v>33</v>
      </c>
      <c r="V47" s="71"/>
      <c r="W47" s="35"/>
      <c r="X47" s="36"/>
      <c r="Y47" s="61"/>
      <c r="Z47" s="62"/>
      <c r="AA47" s="35"/>
      <c r="AB47" s="36"/>
      <c r="AC47" s="35"/>
      <c r="AD47" s="36"/>
      <c r="AE47" s="41"/>
      <c r="AF47" s="42"/>
    </row>
    <row r="48" spans="2:32" ht="11.55" customHeight="1"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2:32" ht="11.55" customHeight="1">
      <c r="B49" s="82" t="s">
        <v>29</v>
      </c>
      <c r="C49" s="74" t="s">
        <v>10</v>
      </c>
      <c r="G49" s="72">
        <v>524</v>
      </c>
      <c r="H49" s="72"/>
      <c r="I49" s="56">
        <v>522</v>
      </c>
      <c r="J49" s="57"/>
      <c r="K49" s="56">
        <v>520</v>
      </c>
      <c r="L49" s="57"/>
      <c r="M49" s="56">
        <v>518</v>
      </c>
      <c r="N49" s="57"/>
      <c r="O49" s="75" t="s">
        <v>19</v>
      </c>
      <c r="P49" s="76"/>
      <c r="Q49" s="56">
        <v>514</v>
      </c>
      <c r="R49" s="57"/>
      <c r="S49" s="56">
        <v>512</v>
      </c>
      <c r="T49" s="57"/>
      <c r="U49" s="56">
        <v>510</v>
      </c>
      <c r="V49" s="57"/>
      <c r="W49" s="43"/>
      <c r="X49" s="44"/>
      <c r="Y49" s="49" t="s">
        <v>3</v>
      </c>
      <c r="Z49" s="50"/>
      <c r="AA49" s="43" t="s">
        <v>4</v>
      </c>
      <c r="AB49" s="53"/>
      <c r="AC49" s="56">
        <v>504</v>
      </c>
      <c r="AD49" s="57"/>
      <c r="AE49" s="56">
        <v>502</v>
      </c>
      <c r="AF49" s="57"/>
    </row>
    <row r="50" spans="2:32" ht="5.4" customHeight="1">
      <c r="B50" s="82"/>
      <c r="C50" s="74"/>
      <c r="D50" s="58" t="s">
        <v>33</v>
      </c>
      <c r="E50" s="81">
        <v>14</v>
      </c>
      <c r="G50" s="37" t="s">
        <v>35</v>
      </c>
      <c r="H50" s="38"/>
      <c r="I50" s="31" t="s">
        <v>33</v>
      </c>
      <c r="J50" s="32"/>
      <c r="K50" s="31" t="s">
        <v>33</v>
      </c>
      <c r="L50" s="32"/>
      <c r="M50" s="31" t="s">
        <v>33</v>
      </c>
      <c r="N50" s="32"/>
      <c r="O50" s="77"/>
      <c r="P50" s="78"/>
      <c r="Q50" s="31" t="s">
        <v>33</v>
      </c>
      <c r="R50" s="32"/>
      <c r="S50" s="31" t="s">
        <v>33</v>
      </c>
      <c r="T50" s="32"/>
      <c r="U50" s="37" t="s">
        <v>35</v>
      </c>
      <c r="V50" s="38"/>
      <c r="W50" s="45"/>
      <c r="X50" s="46"/>
      <c r="Y50" s="51"/>
      <c r="Z50" s="52"/>
      <c r="AA50" s="45"/>
      <c r="AB50" s="54"/>
      <c r="AC50" s="31" t="s">
        <v>33</v>
      </c>
      <c r="AD50" s="32"/>
      <c r="AE50" s="37" t="s">
        <v>35</v>
      </c>
      <c r="AF50" s="38"/>
    </row>
    <row r="51" spans="2:32" ht="6" customHeight="1">
      <c r="B51" s="82"/>
      <c r="C51" s="74"/>
      <c r="D51" s="58"/>
      <c r="E51" s="81"/>
      <c r="G51" s="39"/>
      <c r="H51" s="40"/>
      <c r="I51" s="33"/>
      <c r="J51" s="34"/>
      <c r="K51" s="33"/>
      <c r="L51" s="34"/>
      <c r="M51" s="33"/>
      <c r="N51" s="34"/>
      <c r="O51" s="77"/>
      <c r="P51" s="78"/>
      <c r="Q51" s="33"/>
      <c r="R51" s="34"/>
      <c r="S51" s="33"/>
      <c r="T51" s="34"/>
      <c r="U51" s="39"/>
      <c r="V51" s="40"/>
      <c r="W51" s="45"/>
      <c r="X51" s="46"/>
      <c r="Y51" s="49" t="s">
        <v>3</v>
      </c>
      <c r="Z51" s="50"/>
      <c r="AA51" s="45"/>
      <c r="AB51" s="54"/>
      <c r="AC51" s="33"/>
      <c r="AD51" s="34"/>
      <c r="AE51" s="39"/>
      <c r="AF51" s="40"/>
    </row>
    <row r="52" spans="2:32" ht="11.55" customHeight="1">
      <c r="B52" s="82"/>
      <c r="C52" s="74"/>
      <c r="D52" s="1" t="s">
        <v>34</v>
      </c>
      <c r="E52" s="1">
        <f>COUNTIF(G49:AF56,"ZW")</f>
        <v>2</v>
      </c>
      <c r="G52" s="41"/>
      <c r="H52" s="42"/>
      <c r="I52" s="35"/>
      <c r="J52" s="36"/>
      <c r="K52" s="35"/>
      <c r="L52" s="36"/>
      <c r="M52" s="35"/>
      <c r="N52" s="36"/>
      <c r="O52" s="79"/>
      <c r="P52" s="80"/>
      <c r="Q52" s="35"/>
      <c r="R52" s="36"/>
      <c r="S52" s="35"/>
      <c r="T52" s="36"/>
      <c r="U52" s="41"/>
      <c r="V52" s="42"/>
      <c r="W52" s="47"/>
      <c r="X52" s="48"/>
      <c r="Y52" s="51"/>
      <c r="Z52" s="52"/>
      <c r="AA52" s="47"/>
      <c r="AB52" s="55"/>
      <c r="AC52" s="35"/>
      <c r="AD52" s="36"/>
      <c r="AE52" s="41"/>
      <c r="AF52" s="42"/>
    </row>
    <row r="53" spans="2:32" ht="11.55" customHeight="1">
      <c r="B53" s="82"/>
      <c r="C53" s="74"/>
      <c r="D53" s="1" t="s">
        <v>35</v>
      </c>
      <c r="E53" s="1">
        <v>6</v>
      </c>
      <c r="AF53" s="2"/>
    </row>
    <row r="54" spans="2:32" ht="11.55" customHeight="1">
      <c r="B54" s="82"/>
      <c r="C54" s="74"/>
      <c r="G54" s="72">
        <v>525</v>
      </c>
      <c r="H54" s="72"/>
      <c r="I54" s="56">
        <v>523</v>
      </c>
      <c r="J54" s="57"/>
      <c r="K54" s="56">
        <v>521</v>
      </c>
      <c r="L54" s="57"/>
      <c r="M54" s="56">
        <v>519</v>
      </c>
      <c r="N54" s="57"/>
      <c r="O54" s="56">
        <v>517</v>
      </c>
      <c r="P54" s="57"/>
      <c r="Q54" s="56">
        <v>515</v>
      </c>
      <c r="R54" s="57"/>
      <c r="S54" s="56">
        <v>513</v>
      </c>
      <c r="T54" s="57"/>
      <c r="U54" s="56">
        <v>511</v>
      </c>
      <c r="V54" s="57"/>
      <c r="W54" s="56">
        <v>509</v>
      </c>
      <c r="X54" s="57"/>
      <c r="Y54" s="56">
        <v>507</v>
      </c>
      <c r="Z54" s="57"/>
      <c r="AA54" s="56">
        <v>505</v>
      </c>
      <c r="AB54" s="57"/>
      <c r="AC54" s="56">
        <v>503</v>
      </c>
      <c r="AD54" s="57"/>
      <c r="AE54" s="56">
        <v>501</v>
      </c>
      <c r="AF54" s="57"/>
    </row>
    <row r="55" spans="2:32" ht="11.55" customHeight="1">
      <c r="B55" s="82"/>
      <c r="C55" s="74"/>
      <c r="E55" s="22">
        <f>SUM(E48:E54)</f>
        <v>22</v>
      </c>
      <c r="G55" s="37" t="s">
        <v>35</v>
      </c>
      <c r="H55" s="38"/>
      <c r="I55" s="31" t="s">
        <v>33</v>
      </c>
      <c r="J55" s="32"/>
      <c r="K55" s="59" t="s">
        <v>34</v>
      </c>
      <c r="L55" s="60"/>
      <c r="M55" s="31" t="s">
        <v>33</v>
      </c>
      <c r="N55" s="32"/>
      <c r="O55" s="31" t="s">
        <v>33</v>
      </c>
      <c r="P55" s="32"/>
      <c r="Q55" s="37" t="s">
        <v>35</v>
      </c>
      <c r="R55" s="38"/>
      <c r="S55" s="31" t="s">
        <v>33</v>
      </c>
      <c r="T55" s="32"/>
      <c r="U55" s="24" t="s">
        <v>21</v>
      </c>
      <c r="V55" s="25"/>
      <c r="W55" s="31" t="s">
        <v>33</v>
      </c>
      <c r="X55" s="32"/>
      <c r="Y55" s="59" t="s">
        <v>34</v>
      </c>
      <c r="Z55" s="60"/>
      <c r="AA55" s="31" t="s">
        <v>33</v>
      </c>
      <c r="AB55" s="32"/>
      <c r="AC55" s="31" t="s">
        <v>33</v>
      </c>
      <c r="AD55" s="32"/>
      <c r="AE55" s="37" t="s">
        <v>35</v>
      </c>
      <c r="AF55" s="38"/>
    </row>
    <row r="56" spans="2:32" ht="11.55" customHeight="1">
      <c r="B56" s="82"/>
      <c r="C56" s="74"/>
      <c r="E56" s="22"/>
      <c r="F56" s="22"/>
      <c r="G56" s="41"/>
      <c r="H56" s="42"/>
      <c r="I56" s="35"/>
      <c r="J56" s="36"/>
      <c r="K56" s="61"/>
      <c r="L56" s="62"/>
      <c r="M56" s="35"/>
      <c r="N56" s="36"/>
      <c r="O56" s="35"/>
      <c r="P56" s="36"/>
      <c r="Q56" s="41"/>
      <c r="R56" s="42"/>
      <c r="S56" s="35"/>
      <c r="T56" s="36"/>
      <c r="U56" s="70" t="s">
        <v>33</v>
      </c>
      <c r="V56" s="71"/>
      <c r="W56" s="35"/>
      <c r="X56" s="36"/>
      <c r="Y56" s="61"/>
      <c r="Z56" s="62"/>
      <c r="AA56" s="35"/>
      <c r="AB56" s="36"/>
      <c r="AC56" s="35"/>
      <c r="AD56" s="36"/>
      <c r="AE56" s="41"/>
      <c r="AF56" s="42"/>
    </row>
    <row r="57" spans="2:32" ht="11.55" customHeight="1"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2:32" ht="11.55" customHeight="1">
      <c r="B58" s="73" t="s">
        <v>9</v>
      </c>
      <c r="C58" s="74" t="s">
        <v>11</v>
      </c>
      <c r="G58" s="72">
        <v>424</v>
      </c>
      <c r="H58" s="72"/>
      <c r="I58" s="56">
        <v>422</v>
      </c>
      <c r="J58" s="57"/>
      <c r="K58" s="56">
        <v>420</v>
      </c>
      <c r="L58" s="57"/>
      <c r="M58" s="56">
        <v>418</v>
      </c>
      <c r="N58" s="57"/>
      <c r="O58" s="75" t="s">
        <v>19</v>
      </c>
      <c r="P58" s="76"/>
      <c r="Q58" s="56">
        <v>414</v>
      </c>
      <c r="R58" s="57"/>
      <c r="S58" s="56">
        <v>412</v>
      </c>
      <c r="T58" s="57"/>
      <c r="U58" s="56">
        <v>410</v>
      </c>
      <c r="V58" s="57"/>
      <c r="W58" s="43"/>
      <c r="X58" s="44"/>
      <c r="Y58" s="49" t="s">
        <v>3</v>
      </c>
      <c r="Z58" s="50"/>
      <c r="AA58" s="43" t="s">
        <v>4</v>
      </c>
      <c r="AB58" s="53"/>
      <c r="AC58" s="56">
        <v>404</v>
      </c>
      <c r="AD58" s="57"/>
      <c r="AE58" s="56">
        <v>402</v>
      </c>
      <c r="AF58" s="57"/>
    </row>
    <row r="59" spans="2:32" ht="5.4" customHeight="1">
      <c r="B59" s="73"/>
      <c r="C59" s="74"/>
      <c r="D59" s="58" t="s">
        <v>7</v>
      </c>
      <c r="E59" s="81">
        <f>COUNTIF(G58:AF65,"NS")</f>
        <v>13</v>
      </c>
      <c r="G59" s="37" t="s">
        <v>8</v>
      </c>
      <c r="H59" s="38"/>
      <c r="I59" s="31" t="s">
        <v>7</v>
      </c>
      <c r="J59" s="32"/>
      <c r="K59" s="31" t="s">
        <v>7</v>
      </c>
      <c r="L59" s="32"/>
      <c r="M59" s="31" t="s">
        <v>7</v>
      </c>
      <c r="N59" s="32"/>
      <c r="O59" s="77"/>
      <c r="P59" s="78"/>
      <c r="Q59" s="31" t="s">
        <v>7</v>
      </c>
      <c r="R59" s="32"/>
      <c r="S59" s="31" t="s">
        <v>7</v>
      </c>
      <c r="T59" s="32"/>
      <c r="U59" s="37" t="s">
        <v>8</v>
      </c>
      <c r="V59" s="38"/>
      <c r="W59" s="45"/>
      <c r="X59" s="46"/>
      <c r="Y59" s="51"/>
      <c r="Z59" s="52"/>
      <c r="AA59" s="45"/>
      <c r="AB59" s="54"/>
      <c r="AC59" s="31" t="s">
        <v>7</v>
      </c>
      <c r="AD59" s="32"/>
      <c r="AE59" s="37" t="s">
        <v>8</v>
      </c>
      <c r="AF59" s="38"/>
    </row>
    <row r="60" spans="2:32" ht="6" customHeight="1">
      <c r="B60" s="73"/>
      <c r="C60" s="74"/>
      <c r="D60" s="58"/>
      <c r="E60" s="81"/>
      <c r="G60" s="39"/>
      <c r="H60" s="40"/>
      <c r="I60" s="33"/>
      <c r="J60" s="34"/>
      <c r="K60" s="33"/>
      <c r="L60" s="34"/>
      <c r="M60" s="33"/>
      <c r="N60" s="34"/>
      <c r="O60" s="77"/>
      <c r="P60" s="78"/>
      <c r="Q60" s="33"/>
      <c r="R60" s="34"/>
      <c r="S60" s="33"/>
      <c r="T60" s="34"/>
      <c r="U60" s="39"/>
      <c r="V60" s="40"/>
      <c r="W60" s="45"/>
      <c r="X60" s="46"/>
      <c r="Y60" s="49" t="s">
        <v>3</v>
      </c>
      <c r="Z60" s="50"/>
      <c r="AA60" s="45"/>
      <c r="AB60" s="54"/>
      <c r="AC60" s="33"/>
      <c r="AD60" s="34"/>
      <c r="AE60" s="39"/>
      <c r="AF60" s="40"/>
    </row>
    <row r="61" spans="2:32" ht="11.55" customHeight="1">
      <c r="B61" s="73"/>
      <c r="C61" s="74"/>
      <c r="D61" s="1" t="s">
        <v>6</v>
      </c>
      <c r="E61" s="1">
        <f>COUNTIF(G60:AF66,"NW")</f>
        <v>2</v>
      </c>
      <c r="G61" s="41"/>
      <c r="H61" s="42"/>
      <c r="I61" s="35"/>
      <c r="J61" s="36"/>
      <c r="K61" s="35"/>
      <c r="L61" s="36"/>
      <c r="M61" s="35"/>
      <c r="N61" s="36"/>
      <c r="O61" s="79"/>
      <c r="P61" s="80"/>
      <c r="Q61" s="35"/>
      <c r="R61" s="36"/>
      <c r="S61" s="35"/>
      <c r="T61" s="36"/>
      <c r="U61" s="41"/>
      <c r="V61" s="42"/>
      <c r="W61" s="47"/>
      <c r="X61" s="48"/>
      <c r="Y61" s="51"/>
      <c r="Z61" s="52"/>
      <c r="AA61" s="47"/>
      <c r="AB61" s="55"/>
      <c r="AC61" s="35"/>
      <c r="AD61" s="36"/>
      <c r="AE61" s="41"/>
      <c r="AF61" s="42"/>
    </row>
    <row r="62" spans="2:32" ht="11.55" customHeight="1">
      <c r="B62" s="73"/>
      <c r="C62" s="74"/>
      <c r="D62" s="1" t="s">
        <v>8</v>
      </c>
      <c r="E62" s="1">
        <f>COUNTIF(G58:AF65,"NT")</f>
        <v>7</v>
      </c>
      <c r="AF62" s="2"/>
    </row>
    <row r="63" spans="2:32" ht="11.55" customHeight="1">
      <c r="B63" s="73"/>
      <c r="C63" s="74"/>
      <c r="G63" s="72">
        <v>425</v>
      </c>
      <c r="H63" s="72"/>
      <c r="I63" s="56">
        <v>423</v>
      </c>
      <c r="J63" s="57"/>
      <c r="K63" s="56">
        <v>421</v>
      </c>
      <c r="L63" s="57"/>
      <c r="M63" s="56">
        <v>419</v>
      </c>
      <c r="N63" s="57"/>
      <c r="O63" s="56">
        <v>417</v>
      </c>
      <c r="P63" s="57"/>
      <c r="Q63" s="56">
        <v>415</v>
      </c>
      <c r="R63" s="57"/>
      <c r="S63" s="56">
        <v>413</v>
      </c>
      <c r="T63" s="57"/>
      <c r="U63" s="56">
        <v>411</v>
      </c>
      <c r="V63" s="57"/>
      <c r="W63" s="56">
        <v>409</v>
      </c>
      <c r="X63" s="57"/>
      <c r="Y63" s="56">
        <v>407</v>
      </c>
      <c r="Z63" s="57"/>
      <c r="AA63" s="56">
        <v>405</v>
      </c>
      <c r="AB63" s="57"/>
      <c r="AC63" s="56">
        <v>403</v>
      </c>
      <c r="AD63" s="57"/>
      <c r="AE63" s="56">
        <v>401</v>
      </c>
      <c r="AF63" s="57"/>
    </row>
    <row r="64" spans="2:32" ht="11.55" customHeight="1">
      <c r="B64" s="73"/>
      <c r="C64" s="74"/>
      <c r="E64" s="22">
        <f>SUM(E59:E62)</f>
        <v>22</v>
      </c>
      <c r="G64" s="37" t="s">
        <v>8</v>
      </c>
      <c r="H64" s="38"/>
      <c r="I64" s="31" t="s">
        <v>7</v>
      </c>
      <c r="J64" s="32"/>
      <c r="K64" s="59" t="s">
        <v>6</v>
      </c>
      <c r="L64" s="60"/>
      <c r="M64" s="31" t="s">
        <v>7</v>
      </c>
      <c r="N64" s="32"/>
      <c r="O64" s="31" t="s">
        <v>7</v>
      </c>
      <c r="P64" s="32"/>
      <c r="Q64" s="37" t="s">
        <v>8</v>
      </c>
      <c r="R64" s="38"/>
      <c r="S64" s="31" t="s">
        <v>7</v>
      </c>
      <c r="T64" s="32"/>
      <c r="U64" s="37" t="s">
        <v>8</v>
      </c>
      <c r="V64" s="38"/>
      <c r="W64" s="31" t="s">
        <v>7</v>
      </c>
      <c r="X64" s="32"/>
      <c r="Y64" s="59" t="s">
        <v>6</v>
      </c>
      <c r="Z64" s="60"/>
      <c r="AA64" s="31" t="s">
        <v>7</v>
      </c>
      <c r="AB64" s="32"/>
      <c r="AC64" s="31" t="s">
        <v>7</v>
      </c>
      <c r="AD64" s="32"/>
      <c r="AE64" s="37" t="s">
        <v>8</v>
      </c>
      <c r="AF64" s="38"/>
    </row>
    <row r="65" spans="2:47" ht="11.55" customHeight="1">
      <c r="B65" s="73"/>
      <c r="C65" s="74"/>
      <c r="E65" s="22"/>
      <c r="F65" s="22"/>
      <c r="G65" s="41"/>
      <c r="H65" s="42"/>
      <c r="I65" s="35"/>
      <c r="J65" s="36"/>
      <c r="K65" s="61"/>
      <c r="L65" s="62"/>
      <c r="M65" s="35"/>
      <c r="N65" s="36"/>
      <c r="O65" s="35"/>
      <c r="P65" s="36"/>
      <c r="Q65" s="41"/>
      <c r="R65" s="42"/>
      <c r="S65" s="35"/>
      <c r="T65" s="36"/>
      <c r="U65" s="41"/>
      <c r="V65" s="42"/>
      <c r="W65" s="35"/>
      <c r="X65" s="36"/>
      <c r="Y65" s="61"/>
      <c r="Z65" s="62"/>
      <c r="AA65" s="35"/>
      <c r="AB65" s="36"/>
      <c r="AC65" s="35"/>
      <c r="AD65" s="36"/>
      <c r="AE65" s="41"/>
      <c r="AF65" s="42"/>
    </row>
    <row r="66" spans="2:47" ht="11.55" customHeight="1"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2:47" ht="11.55" customHeight="1">
      <c r="B67" s="73" t="s">
        <v>9</v>
      </c>
      <c r="C67" s="74" t="s">
        <v>12</v>
      </c>
      <c r="G67" s="72">
        <v>324</v>
      </c>
      <c r="H67" s="72"/>
      <c r="I67" s="56">
        <v>322</v>
      </c>
      <c r="J67" s="57"/>
      <c r="K67" s="56">
        <v>320</v>
      </c>
      <c r="L67" s="57"/>
      <c r="M67" s="56">
        <v>318</v>
      </c>
      <c r="N67" s="57"/>
      <c r="O67" s="75" t="s">
        <v>19</v>
      </c>
      <c r="P67" s="76"/>
      <c r="Q67" s="56">
        <v>314</v>
      </c>
      <c r="R67" s="57"/>
      <c r="S67" s="56">
        <v>312</v>
      </c>
      <c r="T67" s="57"/>
      <c r="U67" s="56">
        <v>310</v>
      </c>
      <c r="V67" s="57"/>
      <c r="W67" s="43"/>
      <c r="X67" s="44"/>
      <c r="Y67" s="49" t="s">
        <v>3</v>
      </c>
      <c r="Z67" s="50"/>
      <c r="AA67" s="43" t="s">
        <v>4</v>
      </c>
      <c r="AB67" s="53"/>
      <c r="AC67" s="56">
        <v>304</v>
      </c>
      <c r="AD67" s="57"/>
      <c r="AE67" s="56">
        <v>302</v>
      </c>
      <c r="AF67" s="57"/>
    </row>
    <row r="68" spans="2:47" ht="5.4" customHeight="1">
      <c r="B68" s="73"/>
      <c r="C68" s="74"/>
      <c r="D68" s="58" t="s">
        <v>7</v>
      </c>
      <c r="E68" s="81">
        <f>COUNTIF(G67:AF74,"NS")</f>
        <v>13</v>
      </c>
      <c r="G68" s="37" t="s">
        <v>8</v>
      </c>
      <c r="H68" s="38"/>
      <c r="I68" s="31" t="s">
        <v>7</v>
      </c>
      <c r="J68" s="32"/>
      <c r="K68" s="31" t="s">
        <v>7</v>
      </c>
      <c r="L68" s="32"/>
      <c r="M68" s="31" t="s">
        <v>7</v>
      </c>
      <c r="N68" s="32"/>
      <c r="O68" s="77"/>
      <c r="P68" s="78"/>
      <c r="Q68" s="31" t="s">
        <v>7</v>
      </c>
      <c r="R68" s="32"/>
      <c r="S68" s="31" t="s">
        <v>7</v>
      </c>
      <c r="T68" s="32"/>
      <c r="U68" s="37" t="s">
        <v>8</v>
      </c>
      <c r="V68" s="38"/>
      <c r="W68" s="45"/>
      <c r="X68" s="46"/>
      <c r="Y68" s="51"/>
      <c r="Z68" s="52"/>
      <c r="AA68" s="45"/>
      <c r="AB68" s="54"/>
      <c r="AC68" s="31" t="s">
        <v>7</v>
      </c>
      <c r="AD68" s="32"/>
      <c r="AE68" s="37" t="s">
        <v>8</v>
      </c>
      <c r="AF68" s="38"/>
    </row>
    <row r="69" spans="2:47" ht="6" customHeight="1">
      <c r="B69" s="73"/>
      <c r="C69" s="74"/>
      <c r="D69" s="58"/>
      <c r="E69" s="81"/>
      <c r="G69" s="39"/>
      <c r="H69" s="40"/>
      <c r="I69" s="33"/>
      <c r="J69" s="34"/>
      <c r="K69" s="33"/>
      <c r="L69" s="34"/>
      <c r="M69" s="33"/>
      <c r="N69" s="34"/>
      <c r="O69" s="77"/>
      <c r="P69" s="78"/>
      <c r="Q69" s="33"/>
      <c r="R69" s="34"/>
      <c r="S69" s="33"/>
      <c r="T69" s="34"/>
      <c r="U69" s="39"/>
      <c r="V69" s="40"/>
      <c r="W69" s="45"/>
      <c r="X69" s="46"/>
      <c r="Y69" s="49" t="s">
        <v>3</v>
      </c>
      <c r="Z69" s="50"/>
      <c r="AA69" s="45"/>
      <c r="AB69" s="54"/>
      <c r="AC69" s="33"/>
      <c r="AD69" s="34"/>
      <c r="AE69" s="39"/>
      <c r="AF69" s="40"/>
    </row>
    <row r="70" spans="2:47" ht="11.55" customHeight="1">
      <c r="B70" s="73"/>
      <c r="C70" s="74"/>
      <c r="D70" s="1" t="s">
        <v>6</v>
      </c>
      <c r="E70" s="1">
        <f>COUNTIF(G69:AF75,"NW")</f>
        <v>2</v>
      </c>
      <c r="G70" s="41"/>
      <c r="H70" s="42"/>
      <c r="I70" s="35"/>
      <c r="J70" s="36"/>
      <c r="K70" s="35"/>
      <c r="L70" s="36"/>
      <c r="M70" s="35"/>
      <c r="N70" s="36"/>
      <c r="O70" s="79"/>
      <c r="P70" s="80"/>
      <c r="Q70" s="35"/>
      <c r="R70" s="36"/>
      <c r="S70" s="35"/>
      <c r="T70" s="36"/>
      <c r="U70" s="41"/>
      <c r="V70" s="42"/>
      <c r="W70" s="47"/>
      <c r="X70" s="48"/>
      <c r="Y70" s="51"/>
      <c r="Z70" s="52"/>
      <c r="AA70" s="47"/>
      <c r="AB70" s="55"/>
      <c r="AC70" s="35"/>
      <c r="AD70" s="36"/>
      <c r="AE70" s="41"/>
      <c r="AF70" s="42"/>
    </row>
    <row r="71" spans="2:47" ht="11.55" customHeight="1">
      <c r="B71" s="73"/>
      <c r="C71" s="74"/>
      <c r="D71" s="1" t="s">
        <v>8</v>
      </c>
      <c r="E71" s="1">
        <f>COUNTIF(G67:AF74,"NT")</f>
        <v>7</v>
      </c>
      <c r="AF71" s="2"/>
    </row>
    <row r="72" spans="2:47" ht="11.55" customHeight="1">
      <c r="B72" s="73"/>
      <c r="C72" s="74"/>
      <c r="G72" s="72">
        <v>325</v>
      </c>
      <c r="H72" s="72"/>
      <c r="I72" s="56">
        <v>323</v>
      </c>
      <c r="J72" s="57"/>
      <c r="K72" s="56">
        <v>321</v>
      </c>
      <c r="L72" s="57"/>
      <c r="M72" s="56">
        <v>319</v>
      </c>
      <c r="N72" s="57"/>
      <c r="O72" s="56">
        <v>317</v>
      </c>
      <c r="P72" s="57"/>
      <c r="Q72" s="56">
        <v>315</v>
      </c>
      <c r="R72" s="57"/>
      <c r="S72" s="56">
        <v>313</v>
      </c>
      <c r="T72" s="57"/>
      <c r="U72" s="56">
        <v>311</v>
      </c>
      <c r="V72" s="57"/>
      <c r="W72" s="56">
        <v>309</v>
      </c>
      <c r="X72" s="57"/>
      <c r="Y72" s="56">
        <v>307</v>
      </c>
      <c r="Z72" s="57"/>
      <c r="AA72" s="56">
        <v>305</v>
      </c>
      <c r="AB72" s="57"/>
      <c r="AC72" s="56">
        <v>303</v>
      </c>
      <c r="AD72" s="57"/>
      <c r="AE72" s="56">
        <v>301</v>
      </c>
      <c r="AF72" s="57"/>
      <c r="AU72" s="21"/>
    </row>
    <row r="73" spans="2:47" ht="11.55" customHeight="1">
      <c r="B73" s="73"/>
      <c r="C73" s="74"/>
      <c r="E73" s="22">
        <f>SUM(E66:E71)</f>
        <v>22</v>
      </c>
      <c r="G73" s="37" t="s">
        <v>8</v>
      </c>
      <c r="H73" s="38"/>
      <c r="I73" s="31" t="s">
        <v>7</v>
      </c>
      <c r="J73" s="32"/>
      <c r="K73" s="59" t="s">
        <v>6</v>
      </c>
      <c r="L73" s="60"/>
      <c r="M73" s="31" t="s">
        <v>7</v>
      </c>
      <c r="N73" s="32"/>
      <c r="O73" s="31" t="s">
        <v>7</v>
      </c>
      <c r="P73" s="32"/>
      <c r="Q73" s="37" t="s">
        <v>8</v>
      </c>
      <c r="R73" s="38"/>
      <c r="S73" s="31" t="s">
        <v>7</v>
      </c>
      <c r="T73" s="32"/>
      <c r="U73" s="37" t="s">
        <v>8</v>
      </c>
      <c r="V73" s="38"/>
      <c r="W73" s="31" t="s">
        <v>7</v>
      </c>
      <c r="X73" s="32"/>
      <c r="Y73" s="59" t="s">
        <v>6</v>
      </c>
      <c r="Z73" s="60"/>
      <c r="AA73" s="31" t="s">
        <v>7</v>
      </c>
      <c r="AB73" s="32"/>
      <c r="AC73" s="31" t="s">
        <v>7</v>
      </c>
      <c r="AD73" s="32"/>
      <c r="AE73" s="37" t="s">
        <v>8</v>
      </c>
      <c r="AF73" s="38"/>
    </row>
    <row r="74" spans="2:47" ht="11.55" customHeight="1">
      <c r="B74" s="73"/>
      <c r="C74" s="74"/>
      <c r="E74" s="22"/>
      <c r="F74" s="22"/>
      <c r="G74" s="41"/>
      <c r="H74" s="42"/>
      <c r="I74" s="35"/>
      <c r="J74" s="36"/>
      <c r="K74" s="61"/>
      <c r="L74" s="62"/>
      <c r="M74" s="35"/>
      <c r="N74" s="36"/>
      <c r="O74" s="35"/>
      <c r="P74" s="36"/>
      <c r="Q74" s="41"/>
      <c r="R74" s="42"/>
      <c r="S74" s="35"/>
      <c r="T74" s="36"/>
      <c r="U74" s="41"/>
      <c r="V74" s="42"/>
      <c r="W74" s="35"/>
      <c r="X74" s="36"/>
      <c r="Y74" s="61"/>
      <c r="Z74" s="62"/>
      <c r="AA74" s="35"/>
      <c r="AB74" s="36"/>
      <c r="AC74" s="35"/>
      <c r="AD74" s="36"/>
      <c r="AE74" s="41"/>
      <c r="AF74" s="42"/>
    </row>
    <row r="75" spans="2:47" ht="11.55" customHeight="1"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2:47" ht="11.55" customHeight="1">
      <c r="B76" s="73" t="s">
        <v>9</v>
      </c>
      <c r="C76" s="74" t="s">
        <v>13</v>
      </c>
      <c r="G76" s="72">
        <v>224</v>
      </c>
      <c r="H76" s="72"/>
      <c r="I76" s="56">
        <v>222</v>
      </c>
      <c r="J76" s="57"/>
      <c r="K76" s="56">
        <v>220</v>
      </c>
      <c r="L76" s="57"/>
      <c r="M76" s="56">
        <v>218</v>
      </c>
      <c r="N76" s="57"/>
      <c r="O76" s="75" t="s">
        <v>19</v>
      </c>
      <c r="P76" s="76"/>
      <c r="Q76" s="56">
        <v>214</v>
      </c>
      <c r="R76" s="57"/>
      <c r="S76" s="56">
        <v>212</v>
      </c>
      <c r="T76" s="57"/>
      <c r="U76" s="56">
        <v>210</v>
      </c>
      <c r="V76" s="57"/>
      <c r="W76" s="43"/>
      <c r="X76" s="44"/>
      <c r="Y76" s="49" t="s">
        <v>3</v>
      </c>
      <c r="Z76" s="50"/>
      <c r="AA76" s="43" t="s">
        <v>4</v>
      </c>
      <c r="AB76" s="53"/>
      <c r="AC76" s="56">
        <v>204</v>
      </c>
      <c r="AD76" s="57"/>
      <c r="AE76" s="56">
        <v>202</v>
      </c>
      <c r="AF76" s="57"/>
    </row>
    <row r="77" spans="2:47" ht="5.4" customHeight="1">
      <c r="B77" s="73"/>
      <c r="C77" s="74"/>
      <c r="D77" s="58" t="s">
        <v>7</v>
      </c>
      <c r="E77" s="81">
        <f>COUNTIF(G76:AF83,"NS")</f>
        <v>13</v>
      </c>
      <c r="G77" s="37" t="s">
        <v>8</v>
      </c>
      <c r="H77" s="38"/>
      <c r="I77" s="31" t="s">
        <v>7</v>
      </c>
      <c r="J77" s="32"/>
      <c r="K77" s="31" t="s">
        <v>7</v>
      </c>
      <c r="L77" s="32"/>
      <c r="M77" s="31" t="s">
        <v>7</v>
      </c>
      <c r="N77" s="32"/>
      <c r="O77" s="77"/>
      <c r="P77" s="78"/>
      <c r="Q77" s="31" t="s">
        <v>7</v>
      </c>
      <c r="R77" s="32"/>
      <c r="S77" s="31" t="s">
        <v>7</v>
      </c>
      <c r="T77" s="32"/>
      <c r="U77" s="100" t="s">
        <v>26</v>
      </c>
      <c r="V77" s="101"/>
      <c r="W77" s="45"/>
      <c r="X77" s="46"/>
      <c r="Y77" s="51"/>
      <c r="Z77" s="52"/>
      <c r="AA77" s="45"/>
      <c r="AB77" s="54"/>
      <c r="AC77" s="31" t="s">
        <v>7</v>
      </c>
      <c r="AD77" s="32"/>
      <c r="AE77" s="100" t="s">
        <v>26</v>
      </c>
      <c r="AF77" s="101"/>
    </row>
    <row r="78" spans="2:47" ht="6" customHeight="1">
      <c r="B78" s="73"/>
      <c r="C78" s="74"/>
      <c r="D78" s="58"/>
      <c r="E78" s="81"/>
      <c r="G78" s="39"/>
      <c r="H78" s="40"/>
      <c r="I78" s="33"/>
      <c r="J78" s="34"/>
      <c r="K78" s="33"/>
      <c r="L78" s="34"/>
      <c r="M78" s="33"/>
      <c r="N78" s="34"/>
      <c r="O78" s="77"/>
      <c r="P78" s="78"/>
      <c r="Q78" s="33"/>
      <c r="R78" s="34"/>
      <c r="S78" s="33"/>
      <c r="T78" s="34"/>
      <c r="U78" s="102"/>
      <c r="V78" s="103"/>
      <c r="W78" s="45"/>
      <c r="X78" s="46"/>
      <c r="Y78" s="49" t="s">
        <v>3</v>
      </c>
      <c r="Z78" s="50"/>
      <c r="AA78" s="45"/>
      <c r="AB78" s="54"/>
      <c r="AC78" s="33"/>
      <c r="AD78" s="34"/>
      <c r="AE78" s="102"/>
      <c r="AF78" s="103"/>
    </row>
    <row r="79" spans="2:47" ht="11.55" customHeight="1">
      <c r="B79" s="73"/>
      <c r="C79" s="74"/>
      <c r="D79" s="1" t="s">
        <v>6</v>
      </c>
      <c r="E79" s="1">
        <f>COUNTIF(G78:AF83,"NW")</f>
        <v>2</v>
      </c>
      <c r="G79" s="41"/>
      <c r="H79" s="42"/>
      <c r="I79" s="35"/>
      <c r="J79" s="36"/>
      <c r="K79" s="35"/>
      <c r="L79" s="36"/>
      <c r="M79" s="35"/>
      <c r="N79" s="36"/>
      <c r="O79" s="79"/>
      <c r="P79" s="80"/>
      <c r="Q79" s="35"/>
      <c r="R79" s="36"/>
      <c r="S79" s="35"/>
      <c r="T79" s="36"/>
      <c r="U79" s="104"/>
      <c r="V79" s="105"/>
      <c r="W79" s="47"/>
      <c r="X79" s="48"/>
      <c r="Y79" s="51"/>
      <c r="Z79" s="52"/>
      <c r="AA79" s="47"/>
      <c r="AB79" s="55"/>
      <c r="AC79" s="35"/>
      <c r="AD79" s="36"/>
      <c r="AE79" s="104"/>
      <c r="AF79" s="105"/>
    </row>
    <row r="80" spans="2:47" ht="11.55" customHeight="1">
      <c r="B80" s="73"/>
      <c r="C80" s="74"/>
      <c r="D80" s="1" t="s">
        <v>8</v>
      </c>
      <c r="E80" s="1">
        <f>COUNTIF(G76:AF83,"NT")</f>
        <v>5</v>
      </c>
      <c r="AF80" s="2"/>
    </row>
    <row r="81" spans="2:32" ht="11.55" customHeight="1">
      <c r="B81" s="73"/>
      <c r="C81" s="74"/>
      <c r="D81" s="1" t="s">
        <v>26</v>
      </c>
      <c r="E81" s="1">
        <f>COUNTIF(G75:AF82,"OPS")</f>
        <v>2</v>
      </c>
      <c r="G81" s="72">
        <v>225</v>
      </c>
      <c r="H81" s="72"/>
      <c r="I81" s="56">
        <v>223</v>
      </c>
      <c r="J81" s="57"/>
      <c r="K81" s="56">
        <v>221</v>
      </c>
      <c r="L81" s="57"/>
      <c r="M81" s="56">
        <v>219</v>
      </c>
      <c r="N81" s="57"/>
      <c r="O81" s="56">
        <v>217</v>
      </c>
      <c r="P81" s="57"/>
      <c r="Q81" s="56">
        <v>215</v>
      </c>
      <c r="R81" s="57"/>
      <c r="S81" s="56">
        <v>213</v>
      </c>
      <c r="T81" s="57"/>
      <c r="U81" s="56">
        <v>211</v>
      </c>
      <c r="V81" s="57"/>
      <c r="W81" s="56">
        <v>209</v>
      </c>
      <c r="X81" s="57"/>
      <c r="Y81" s="56">
        <v>207</v>
      </c>
      <c r="Z81" s="57"/>
      <c r="AA81" s="56">
        <v>205</v>
      </c>
      <c r="AB81" s="57"/>
      <c r="AC81" s="56">
        <v>203</v>
      </c>
      <c r="AD81" s="57"/>
      <c r="AE81" s="56">
        <v>201</v>
      </c>
      <c r="AF81" s="57"/>
    </row>
    <row r="82" spans="2:32" ht="11.55" customHeight="1">
      <c r="B82" s="73"/>
      <c r="C82" s="74"/>
      <c r="G82" s="37" t="s">
        <v>8</v>
      </c>
      <c r="H82" s="38"/>
      <c r="I82" s="31" t="s">
        <v>7</v>
      </c>
      <c r="J82" s="32"/>
      <c r="K82" s="59" t="s">
        <v>6</v>
      </c>
      <c r="L82" s="60"/>
      <c r="M82" s="31" t="s">
        <v>7</v>
      </c>
      <c r="N82" s="32"/>
      <c r="O82" s="31" t="s">
        <v>7</v>
      </c>
      <c r="P82" s="32"/>
      <c r="Q82" s="37" t="s">
        <v>8</v>
      </c>
      <c r="R82" s="38"/>
      <c r="S82" s="31" t="s">
        <v>7</v>
      </c>
      <c r="T82" s="32"/>
      <c r="U82" s="37" t="s">
        <v>8</v>
      </c>
      <c r="V82" s="38"/>
      <c r="W82" s="31" t="s">
        <v>7</v>
      </c>
      <c r="X82" s="32"/>
      <c r="Y82" s="59" t="s">
        <v>6</v>
      </c>
      <c r="Z82" s="60"/>
      <c r="AA82" s="31" t="s">
        <v>7</v>
      </c>
      <c r="AB82" s="32"/>
      <c r="AC82" s="31" t="s">
        <v>7</v>
      </c>
      <c r="AD82" s="32"/>
      <c r="AE82" s="37" t="s">
        <v>8</v>
      </c>
      <c r="AF82" s="38"/>
    </row>
    <row r="83" spans="2:32" ht="11.55" customHeight="1">
      <c r="B83" s="73"/>
      <c r="C83" s="74"/>
      <c r="E83" s="22">
        <f>SUM(E75:E82)</f>
        <v>22</v>
      </c>
      <c r="G83" s="41"/>
      <c r="H83" s="42"/>
      <c r="I83" s="35"/>
      <c r="J83" s="36"/>
      <c r="K83" s="61"/>
      <c r="L83" s="62"/>
      <c r="M83" s="35"/>
      <c r="N83" s="36"/>
      <c r="O83" s="35"/>
      <c r="P83" s="36"/>
      <c r="Q83" s="41"/>
      <c r="R83" s="42"/>
      <c r="S83" s="35"/>
      <c r="T83" s="36"/>
      <c r="U83" s="41"/>
      <c r="V83" s="42"/>
      <c r="W83" s="35"/>
      <c r="X83" s="36"/>
      <c r="Y83" s="61"/>
      <c r="Z83" s="62"/>
      <c r="AA83" s="35"/>
      <c r="AB83" s="36"/>
      <c r="AC83" s="35"/>
      <c r="AD83" s="36"/>
      <c r="AE83" s="41"/>
      <c r="AF83" s="42"/>
    </row>
    <row r="84" spans="2:32" ht="11.55" customHeight="1">
      <c r="C84" s="18"/>
      <c r="G84" s="19"/>
      <c r="H84" s="19"/>
      <c r="I84" s="19"/>
      <c r="L84" s="19"/>
    </row>
    <row r="85" spans="2:32" ht="11.55" customHeight="1">
      <c r="D85" s="20">
        <v>197</v>
      </c>
      <c r="E85" s="20" t="s">
        <v>14</v>
      </c>
      <c r="F85" s="30"/>
    </row>
    <row r="86" spans="2:32" ht="11.55" customHeight="1">
      <c r="D86" s="20">
        <f>AN30</f>
        <v>277</v>
      </c>
      <c r="E86" s="20" t="s">
        <v>15</v>
      </c>
      <c r="F86" s="30"/>
    </row>
    <row r="87" spans="2:32" ht="11.55" customHeight="1"/>
    <row r="88" spans="2:32" ht="11.55" customHeight="1"/>
    <row r="89" spans="2:32" ht="11.55" customHeight="1"/>
    <row r="90" spans="2:32" ht="11.55" customHeight="1"/>
    <row r="91" spans="2:32" ht="11.55" customHeight="1"/>
    <row r="92" spans="2:32" ht="11.55" customHeight="1"/>
    <row r="93" spans="2:32" ht="11.55" customHeight="1"/>
    <row r="94" spans="2:32" ht="11.55" customHeight="1"/>
    <row r="95" spans="2:32" ht="11.55" customHeight="1"/>
    <row r="96" spans="2:32" ht="11.55" customHeight="1"/>
    <row r="97" ht="11.55" customHeight="1"/>
    <row r="98" ht="11.55" customHeight="1"/>
    <row r="99" ht="11.55" customHeight="1"/>
    <row r="100" ht="11.55" customHeight="1"/>
    <row r="101" ht="11.55" customHeight="1"/>
    <row r="102" ht="11.55" customHeight="1"/>
    <row r="103" ht="11.55" customHeight="1"/>
    <row r="104" ht="11.55" customHeight="1"/>
    <row r="105" ht="11.55" customHeight="1"/>
    <row r="106" ht="11.55" customHeight="1"/>
    <row r="107" ht="11.55" customHeight="1"/>
    <row r="108" ht="11.55" customHeight="1"/>
    <row r="109" ht="11.55" customHeight="1"/>
    <row r="110" ht="11.55" customHeight="1"/>
    <row r="111" ht="11.55" customHeight="1"/>
    <row r="112" ht="11.55" customHeight="1"/>
    <row r="113" ht="11.55" customHeight="1"/>
    <row r="114" ht="11.55" customHeight="1"/>
    <row r="115" ht="11.55" customHeight="1"/>
    <row r="116" ht="11.55" customHeight="1"/>
    <row r="117" ht="11.55" customHeight="1"/>
    <row r="118" ht="11.55" customHeight="1"/>
    <row r="119" ht="11.55" customHeight="1"/>
    <row r="120" ht="11.55" customHeight="1"/>
    <row r="121" ht="11.55" customHeight="1"/>
    <row r="122" ht="11.55" customHeight="1"/>
    <row r="123" ht="11.55" customHeight="1"/>
    <row r="124" ht="11.55" customHeight="1"/>
    <row r="125" ht="11.55" customHeight="1"/>
    <row r="126" ht="11.55" customHeight="1"/>
    <row r="127" ht="11.55" customHeight="1"/>
    <row r="128" ht="11.55" customHeight="1"/>
    <row r="129" ht="11.55" customHeight="1"/>
    <row r="130" ht="11.55" customHeight="1"/>
    <row r="131" ht="11.55" customHeight="1"/>
    <row r="132" ht="11.55" customHeight="1"/>
    <row r="133" ht="11.55" customHeight="1"/>
    <row r="134" ht="11.55" customHeight="1"/>
    <row r="135" ht="11.55" customHeight="1"/>
    <row r="136" ht="11.55" customHeight="1"/>
    <row r="137" ht="11.55" customHeight="1"/>
    <row r="138" ht="11.55" customHeight="1"/>
    <row r="139" ht="11.55" customHeight="1"/>
    <row r="140" ht="11.55" customHeight="1"/>
    <row r="141" ht="11.55" customHeight="1"/>
    <row r="142" ht="11.55" customHeight="1"/>
    <row r="143" ht="11.55" customHeight="1"/>
    <row r="144" ht="11.55" customHeight="1"/>
    <row r="145" ht="11.55" customHeight="1"/>
    <row r="146" ht="11.55" customHeight="1"/>
    <row r="147" ht="11.55" customHeight="1"/>
    <row r="148" ht="11.55" customHeight="1"/>
    <row r="149" ht="11.55" customHeight="1"/>
    <row r="150" ht="11.55" customHeight="1"/>
    <row r="151" ht="11.55" customHeight="1"/>
    <row r="152" ht="11.55" customHeight="1"/>
    <row r="153" ht="11.55" customHeight="1"/>
    <row r="154" ht="11.55" customHeight="1"/>
    <row r="155" ht="11.55" customHeight="1"/>
    <row r="156" ht="11.55" customHeight="1"/>
    <row r="157" ht="11.55" customHeight="1"/>
    <row r="158" ht="11.55" customHeight="1"/>
    <row r="159" ht="11.55" customHeight="1"/>
    <row r="160" ht="11.55" customHeight="1"/>
    <row r="161" ht="11.55" customHeight="1"/>
    <row r="162" ht="11.55" customHeight="1"/>
    <row r="163" ht="11.55" customHeight="1"/>
    <row r="164" ht="11.55" customHeight="1"/>
    <row r="165" ht="11.55" customHeight="1"/>
    <row r="166" ht="11.55" customHeight="1"/>
    <row r="167" ht="11.55" customHeight="1"/>
    <row r="168" ht="11.55" customHeight="1"/>
    <row r="169" ht="11.55" customHeight="1"/>
    <row r="170" ht="11.55" customHeight="1"/>
    <row r="171" ht="11.55" customHeight="1"/>
    <row r="172" ht="11.55" customHeight="1"/>
    <row r="173" ht="11.55" customHeight="1"/>
    <row r="174" ht="11.55" customHeight="1"/>
    <row r="175" ht="11.55" customHeight="1"/>
    <row r="176" ht="11.55" customHeight="1"/>
    <row r="177" ht="11.55" customHeight="1"/>
    <row r="178" ht="11.55" customHeight="1"/>
    <row r="179" ht="11.55" customHeight="1"/>
    <row r="180" ht="11.55" customHeight="1"/>
    <row r="181" ht="11.55" customHeight="1"/>
    <row r="182" ht="11.55" customHeight="1"/>
    <row r="183" ht="11.55" customHeight="1"/>
    <row r="184" ht="11.55" customHeight="1"/>
    <row r="185" ht="11.55" customHeight="1"/>
    <row r="186" ht="11.55" customHeight="1"/>
    <row r="187" ht="11.55" customHeight="1"/>
    <row r="188" ht="11.55" customHeight="1"/>
    <row r="189" ht="11.55" customHeight="1"/>
    <row r="190" ht="11.55" customHeight="1"/>
    <row r="191" ht="11.55" customHeight="1"/>
    <row r="192" ht="11.55" customHeight="1"/>
    <row r="193" ht="11.55" customHeight="1"/>
    <row r="194" ht="11.55" customHeight="1"/>
    <row r="195" ht="11.55" customHeight="1"/>
    <row r="196" ht="11.55" customHeight="1"/>
    <row r="197" ht="11.55" customHeight="1"/>
    <row r="198" ht="11.55" customHeight="1"/>
    <row r="199" ht="11.55" customHeight="1"/>
    <row r="200" ht="11.55" customHeight="1"/>
    <row r="201" ht="11.55" customHeight="1"/>
    <row r="202" ht="11.55" customHeight="1"/>
    <row r="203" ht="11.55" customHeight="1"/>
    <row r="204" ht="11.55" customHeight="1"/>
    <row r="205" ht="11.55" customHeight="1"/>
    <row r="206" ht="11.55" customHeight="1"/>
    <row r="207" ht="11.55" customHeight="1"/>
    <row r="208" ht="11.55" customHeight="1"/>
    <row r="209" ht="11.55" customHeight="1"/>
    <row r="210" ht="11.55" customHeight="1"/>
    <row r="211" ht="11.55" customHeight="1"/>
    <row r="212" ht="11.55" customHeight="1"/>
    <row r="213" ht="11.55" customHeight="1"/>
    <row r="214" ht="11.55" customHeight="1"/>
    <row r="215" ht="11.55" customHeight="1"/>
    <row r="216" ht="11.55" customHeight="1"/>
    <row r="217" ht="11.55" customHeight="1"/>
    <row r="218" ht="11.55" customHeight="1"/>
    <row r="219" ht="11.55" customHeight="1"/>
    <row r="220" ht="11.55" customHeight="1"/>
    <row r="221" ht="11.55" customHeight="1"/>
    <row r="222" ht="11.55" customHeight="1"/>
    <row r="223" ht="11.55" customHeight="1"/>
    <row r="224" ht="11.55" customHeight="1"/>
    <row r="225" ht="11.55" customHeight="1"/>
    <row r="226" ht="11.55" customHeight="1"/>
    <row r="227" ht="11.55" customHeight="1"/>
    <row r="228" ht="11.55" customHeight="1"/>
    <row r="229" ht="11.55" customHeight="1"/>
    <row r="230" ht="11.55" customHeight="1"/>
    <row r="231" ht="11.55" customHeight="1"/>
    <row r="232" ht="11.55" customHeight="1"/>
    <row r="233" ht="11.55" customHeight="1"/>
    <row r="234" ht="11.55" customHeight="1"/>
    <row r="235" ht="11.55" customHeight="1"/>
    <row r="236" ht="11.55" customHeight="1"/>
    <row r="237" ht="11.55" customHeight="1"/>
    <row r="238" ht="11.55" customHeight="1"/>
    <row r="239" ht="11.55" customHeight="1"/>
    <row r="240" ht="11.55" customHeight="1"/>
    <row r="241" ht="11.55" customHeight="1"/>
    <row r="242" ht="11.55" customHeight="1"/>
    <row r="243" ht="11.55" customHeight="1"/>
    <row r="244" ht="11.55" customHeight="1"/>
    <row r="245" ht="11.55" customHeight="1"/>
    <row r="246" ht="11.55" customHeight="1"/>
    <row r="247" ht="11.55" customHeight="1"/>
    <row r="248" ht="11.55" customHeight="1"/>
    <row r="249" ht="11.55" customHeight="1"/>
    <row r="250" ht="11.55" customHeight="1"/>
    <row r="251" ht="11.55" customHeight="1"/>
    <row r="252" ht="11.55" customHeight="1"/>
    <row r="253" ht="11.55" customHeight="1"/>
    <row r="254" ht="11.55" customHeight="1"/>
    <row r="255" ht="11.55" customHeight="1"/>
    <row r="256" ht="11.55" customHeight="1"/>
    <row r="257" ht="11.55" customHeight="1"/>
    <row r="258" ht="11.55" customHeight="1"/>
    <row r="259" ht="11.55" customHeight="1"/>
    <row r="260" ht="11.55" customHeight="1"/>
    <row r="261" ht="11.55" customHeight="1"/>
    <row r="262" ht="11.55" customHeight="1"/>
    <row r="263" ht="11.55" customHeight="1"/>
    <row r="264" ht="11.55" customHeight="1"/>
    <row r="265" ht="11.55" customHeight="1"/>
    <row r="266" ht="11.55" customHeight="1"/>
    <row r="267" ht="11.55" customHeight="1"/>
    <row r="268" ht="11.55" customHeight="1"/>
    <row r="269" ht="11.55" customHeight="1"/>
    <row r="270" ht="11.55" customHeight="1"/>
    <row r="271" ht="11.55" customHeight="1"/>
    <row r="272" ht="11.55" customHeight="1"/>
    <row r="273" ht="11.55" customHeight="1"/>
    <row r="274" ht="11.55" customHeight="1"/>
    <row r="275" ht="11.55" customHeight="1"/>
    <row r="276" ht="11.55" customHeight="1"/>
    <row r="277" ht="11.55" customHeight="1"/>
    <row r="278" ht="11.55" customHeight="1"/>
    <row r="279" ht="11.55" customHeight="1"/>
    <row r="280" ht="11.55" customHeight="1"/>
    <row r="281" ht="11.55" customHeight="1"/>
    <row r="282" ht="11.55" customHeight="1"/>
    <row r="283" ht="11.55" customHeight="1"/>
    <row r="284" ht="11.55" customHeight="1"/>
    <row r="285" ht="11.55" customHeight="1"/>
    <row r="286" ht="11.55" customHeight="1"/>
    <row r="287" ht="11.55" customHeight="1"/>
    <row r="288" ht="11.55" customHeight="1"/>
    <row r="289" ht="11.55" customHeight="1"/>
    <row r="290" ht="11.55" customHeight="1"/>
    <row r="291" ht="11.55" customHeight="1"/>
    <row r="292" ht="11.55" customHeight="1"/>
    <row r="293" ht="11.55" customHeight="1"/>
    <row r="294" ht="11.55" customHeight="1"/>
    <row r="295" ht="11.55" customHeight="1"/>
    <row r="296" ht="11.55" customHeight="1"/>
    <row r="297" ht="11.55" customHeight="1"/>
    <row r="298" ht="11.55" customHeight="1"/>
    <row r="299" ht="11.55" customHeight="1"/>
    <row r="300" ht="11.55" customHeight="1"/>
    <row r="301" ht="11.55" customHeight="1"/>
    <row r="302" ht="11.55" customHeight="1"/>
    <row r="303" ht="11.55" customHeight="1"/>
    <row r="304" ht="11.55" customHeight="1"/>
    <row r="305" ht="11.55" customHeight="1"/>
    <row r="306" ht="11.55" customHeight="1"/>
    <row r="307" ht="11.55" customHeight="1"/>
    <row r="308" ht="11.55" customHeight="1"/>
    <row r="309" ht="11.55" customHeight="1"/>
    <row r="310" ht="11.55" customHeight="1"/>
    <row r="311" ht="11.55" customHeight="1"/>
    <row r="312" ht="11.55" customHeight="1"/>
    <row r="313" ht="11.55" customHeight="1"/>
    <row r="314" ht="11.55" customHeight="1"/>
    <row r="315" ht="11.55" customHeight="1"/>
    <row r="316" ht="11.55" customHeight="1"/>
    <row r="317" ht="11.55" customHeight="1"/>
    <row r="318" ht="11.55" customHeight="1"/>
    <row r="319" ht="11.55" customHeight="1"/>
    <row r="320" ht="11.55" customHeight="1"/>
    <row r="321" ht="11.55" customHeight="1"/>
    <row r="322" ht="11.55" customHeight="1"/>
    <row r="323" ht="11.55" customHeight="1"/>
    <row r="324" ht="11.55" customHeight="1"/>
    <row r="325" ht="11.55" customHeight="1"/>
    <row r="326" ht="11.55" customHeight="1"/>
    <row r="327" ht="11.55" customHeight="1"/>
    <row r="328" ht="11.55" customHeight="1"/>
    <row r="329" ht="11.55" customHeight="1"/>
    <row r="330" ht="11.55" customHeight="1"/>
    <row r="331" ht="11.55" customHeight="1"/>
    <row r="332" ht="11.55" customHeight="1"/>
    <row r="333" ht="11.55" customHeight="1"/>
    <row r="334" ht="11.55" customHeight="1"/>
    <row r="335" ht="11.55" customHeight="1"/>
    <row r="336" ht="11.55" customHeight="1"/>
    <row r="337" ht="11.55" customHeight="1"/>
    <row r="338" ht="11.55" customHeight="1"/>
    <row r="339" ht="11.55" customHeight="1"/>
    <row r="340" ht="11.55" customHeight="1"/>
    <row r="341" ht="11.55" customHeight="1"/>
    <row r="342" ht="11.55" customHeight="1"/>
    <row r="343" ht="11.55" customHeight="1"/>
    <row r="344" ht="11.55" customHeight="1"/>
    <row r="345" ht="11.55" customHeight="1"/>
    <row r="346" ht="11.55" customHeight="1"/>
    <row r="347" ht="11.55" customHeight="1"/>
    <row r="348" ht="11.55" customHeight="1"/>
    <row r="349" ht="11.55" customHeight="1"/>
    <row r="350" ht="11.55" customHeight="1"/>
    <row r="351" ht="11.55" customHeight="1"/>
    <row r="352" ht="11.55" customHeight="1"/>
    <row r="353" ht="11.55" customHeight="1"/>
    <row r="354" ht="11.55" customHeight="1"/>
    <row r="355" ht="11.55" customHeight="1"/>
    <row r="356" ht="11.55" customHeight="1"/>
    <row r="357" ht="11.55" customHeight="1"/>
    <row r="358" ht="11.55" customHeight="1"/>
    <row r="359" ht="11.55" customHeight="1"/>
    <row r="360" ht="11.55" customHeight="1"/>
    <row r="361" ht="11.55" customHeight="1"/>
    <row r="362" ht="11.55" customHeight="1"/>
    <row r="363" ht="11.55" customHeight="1"/>
    <row r="364" ht="11.55" customHeight="1"/>
    <row r="365" ht="11.55" customHeight="1"/>
    <row r="366" ht="11.55" customHeight="1"/>
    <row r="367" ht="11.55" customHeight="1"/>
    <row r="368" ht="11.55" customHeight="1"/>
    <row r="369" ht="11.55" customHeight="1"/>
    <row r="370" ht="11.55" customHeight="1"/>
    <row r="371" ht="11.55" customHeight="1"/>
    <row r="372" ht="11.55" customHeight="1"/>
    <row r="373" ht="11.55" customHeight="1"/>
    <row r="374" ht="11.55" customHeight="1"/>
    <row r="375" ht="11.55" customHeight="1"/>
    <row r="376" ht="11.55" customHeight="1"/>
    <row r="377" ht="11.55" customHeight="1"/>
    <row r="378" ht="11.55" customHeight="1"/>
    <row r="379" ht="11.55" customHeight="1"/>
    <row r="380" ht="11.55" customHeight="1"/>
    <row r="381" ht="11.55" customHeight="1"/>
    <row r="382" ht="11.55" customHeight="1"/>
    <row r="383" ht="11.55" customHeight="1"/>
    <row r="384" ht="11.55" customHeight="1"/>
    <row r="385" ht="11.55" customHeight="1"/>
    <row r="386" ht="11.55" customHeight="1"/>
    <row r="387" ht="11.55" customHeight="1"/>
    <row r="388" ht="11.55" customHeight="1"/>
    <row r="389" ht="11.55" customHeight="1"/>
    <row r="390" ht="11.55" customHeight="1"/>
    <row r="391" ht="11.55" customHeight="1"/>
    <row r="392" ht="11.55" customHeight="1"/>
    <row r="393" ht="11.55" customHeight="1"/>
    <row r="394" ht="11.55" customHeight="1"/>
    <row r="395" ht="11.55" customHeight="1"/>
    <row r="396" ht="11.55" customHeight="1"/>
    <row r="397" ht="11.55" customHeight="1"/>
    <row r="398" ht="11.55" customHeight="1"/>
    <row r="399" ht="11.55" customHeight="1"/>
    <row r="400" ht="11.55" customHeight="1"/>
    <row r="401" ht="11.55" customHeight="1"/>
    <row r="402" ht="11.55" customHeight="1"/>
    <row r="403" ht="11.55" customHeight="1"/>
    <row r="404" ht="11.55" customHeight="1"/>
    <row r="405" ht="11.55" customHeight="1"/>
    <row r="406" ht="11.55" customHeight="1"/>
    <row r="407" ht="11.55" customHeight="1"/>
    <row r="408" ht="11.55" customHeight="1"/>
    <row r="409" ht="11.55" customHeight="1"/>
    <row r="410" ht="11.55" customHeight="1"/>
    <row r="411" ht="11.55" customHeight="1"/>
    <row r="412" ht="11.55" customHeight="1"/>
    <row r="413" ht="11.55" customHeight="1"/>
    <row r="414" ht="11.55" customHeight="1"/>
    <row r="415" ht="11.55" customHeight="1"/>
    <row r="416" ht="11.55" customHeight="1"/>
    <row r="417" ht="11.55" customHeight="1"/>
    <row r="418" ht="11.55" customHeight="1"/>
    <row r="419" ht="11.55" customHeight="1"/>
    <row r="420" ht="11.55" customHeight="1"/>
    <row r="421" ht="11.55" customHeight="1"/>
    <row r="422" ht="11.55" customHeight="1"/>
    <row r="423" ht="11.55" customHeight="1"/>
    <row r="424" ht="11.55" customHeight="1"/>
    <row r="425" ht="11.55" customHeight="1"/>
    <row r="426" ht="11.55" customHeight="1"/>
    <row r="427" ht="11.55" customHeight="1"/>
    <row r="428" ht="11.55" customHeight="1"/>
    <row r="429" ht="11.55" customHeight="1"/>
    <row r="430" ht="11.55" customHeight="1"/>
    <row r="431" ht="11.55" customHeight="1"/>
    <row r="432" ht="11.55" customHeight="1"/>
    <row r="433" ht="11.55" customHeight="1"/>
    <row r="434" ht="11.55" customHeight="1"/>
    <row r="435" ht="11.55" customHeight="1"/>
    <row r="436" ht="11.55" customHeight="1"/>
    <row r="437" ht="11.55" customHeight="1"/>
    <row r="438" ht="11.55" customHeight="1"/>
    <row r="439" ht="11.55" customHeight="1"/>
    <row r="440" ht="11.55" customHeight="1"/>
    <row r="441" ht="11.55" customHeight="1"/>
    <row r="442" ht="11.55" customHeight="1"/>
    <row r="443" ht="11.55" customHeight="1"/>
    <row r="444" ht="11.55" customHeight="1"/>
    <row r="445" ht="11.55" customHeight="1"/>
    <row r="446" ht="11.55" customHeight="1"/>
    <row r="447" ht="11.55" customHeight="1"/>
    <row r="448" ht="11.55" customHeight="1"/>
    <row r="449" ht="11.55" customHeight="1"/>
    <row r="450" ht="11.55" customHeight="1"/>
    <row r="451" ht="11.55" customHeight="1"/>
    <row r="452" ht="11.55" customHeight="1"/>
    <row r="453" ht="11.55" customHeight="1"/>
    <row r="454" ht="11.55" customHeight="1"/>
    <row r="455" ht="11.55" customHeight="1"/>
    <row r="456" ht="11.55" customHeight="1"/>
    <row r="457" ht="11.55" customHeight="1"/>
    <row r="458" ht="11.55" customHeight="1"/>
    <row r="459" ht="11.55" customHeight="1"/>
    <row r="460" ht="11.55" customHeight="1"/>
    <row r="461" ht="11.55" customHeight="1"/>
    <row r="462" ht="11.55" customHeight="1"/>
    <row r="463" ht="11.55" customHeight="1"/>
    <row r="464" ht="11.55" customHeight="1"/>
    <row r="465" ht="11.55" customHeight="1"/>
    <row r="466" ht="11.55" customHeight="1"/>
    <row r="467" ht="11.55" customHeight="1"/>
    <row r="468" ht="11.55" customHeight="1"/>
    <row r="469" ht="11.55" customHeight="1"/>
    <row r="470" ht="11.55" customHeight="1"/>
    <row r="471" ht="11.55" customHeight="1"/>
    <row r="472" ht="11.55" customHeight="1"/>
    <row r="473" ht="11.55" customHeight="1"/>
    <row r="474" ht="11.55" customHeight="1"/>
    <row r="475" ht="11.55" customHeight="1"/>
    <row r="476" ht="11.55" customHeight="1"/>
    <row r="477" ht="11.55" customHeight="1"/>
    <row r="478" ht="11.55" customHeight="1"/>
    <row r="479" ht="11.55" customHeight="1"/>
    <row r="480" ht="11.55" customHeight="1"/>
    <row r="481" ht="11.55" customHeight="1"/>
    <row r="482" ht="11.55" customHeight="1"/>
    <row r="483" ht="11.55" customHeight="1"/>
    <row r="484" ht="11.55" customHeight="1"/>
    <row r="485" ht="11.55" customHeight="1"/>
    <row r="486" ht="11.55" customHeight="1"/>
    <row r="487" ht="11.55" customHeight="1"/>
    <row r="488" ht="11.55" customHeight="1"/>
    <row r="489" ht="11.55" customHeight="1"/>
    <row r="490" ht="11.55" customHeight="1"/>
    <row r="491" ht="11.55" customHeight="1"/>
    <row r="492" ht="11.55" customHeight="1"/>
    <row r="493" ht="11.55" customHeight="1"/>
    <row r="494" ht="11.55" customHeight="1"/>
    <row r="495" ht="11.55" customHeight="1"/>
    <row r="496" ht="11.55" customHeight="1"/>
    <row r="497" ht="11.55" customHeight="1"/>
    <row r="498" ht="11.55" customHeight="1"/>
    <row r="499" ht="11.55" customHeight="1"/>
    <row r="500" ht="11.55" customHeight="1"/>
    <row r="501" ht="11.55" customHeight="1"/>
    <row r="502" ht="11.55" customHeight="1"/>
    <row r="503" ht="11.55" customHeight="1"/>
    <row r="504" ht="11.55" customHeight="1"/>
    <row r="505" ht="11.55" customHeight="1"/>
    <row r="506" ht="11.55" customHeight="1"/>
    <row r="507" ht="11.55" customHeight="1"/>
    <row r="508" ht="11.55" customHeight="1"/>
    <row r="509" ht="11.55" customHeight="1"/>
    <row r="510" ht="11.55" customHeight="1"/>
    <row r="511" ht="11.55" customHeight="1"/>
    <row r="512" ht="11.55" customHeight="1"/>
    <row r="513" ht="11.55" customHeight="1"/>
    <row r="514" ht="11.55" customHeight="1"/>
    <row r="515" ht="11.55" customHeight="1"/>
    <row r="516" ht="11.55" customHeight="1"/>
    <row r="517" ht="11.55" customHeight="1"/>
    <row r="518" ht="11.55" customHeight="1"/>
    <row r="519" ht="11.55" customHeight="1"/>
    <row r="520" ht="11.55" customHeight="1"/>
    <row r="521" ht="11.55" customHeight="1"/>
    <row r="522" ht="11.55" customHeight="1"/>
    <row r="523" ht="11.55" customHeight="1"/>
    <row r="524" ht="11.55" customHeight="1"/>
    <row r="525" ht="11.55" customHeight="1"/>
    <row r="526" ht="11.55" customHeight="1"/>
    <row r="527" ht="11.55" customHeight="1"/>
    <row r="528" ht="11.55" customHeight="1"/>
    <row r="529" ht="11.55" customHeight="1"/>
    <row r="530" ht="11.55" customHeight="1"/>
    <row r="531" ht="11.55" customHeight="1"/>
    <row r="532" ht="11.55" customHeight="1"/>
  </sheetData>
  <mergeCells count="484">
    <mergeCell ref="AK23:AK24"/>
    <mergeCell ref="AM23:AM24"/>
    <mergeCell ref="AN23:AN24"/>
    <mergeCell ref="AL23:AL24"/>
    <mergeCell ref="AK14:AK15"/>
    <mergeCell ref="AL14:AL15"/>
    <mergeCell ref="AM14:AM15"/>
    <mergeCell ref="AN14:AN15"/>
    <mergeCell ref="I77:J79"/>
    <mergeCell ref="K77:L79"/>
    <mergeCell ref="M77:N79"/>
    <mergeCell ref="Q77:R79"/>
    <mergeCell ref="S77:T79"/>
    <mergeCell ref="AC77:AD79"/>
    <mergeCell ref="U77:V79"/>
    <mergeCell ref="AE77:AF79"/>
    <mergeCell ref="AE59:AF61"/>
    <mergeCell ref="AC59:AD61"/>
    <mergeCell ref="K45:L45"/>
    <mergeCell ref="S45:T45"/>
    <mergeCell ref="U45:V45"/>
    <mergeCell ref="AC45:AD45"/>
    <mergeCell ref="AC22:AD22"/>
    <mergeCell ref="AC46:AD47"/>
    <mergeCell ref="D77:D78"/>
    <mergeCell ref="E77:E78"/>
    <mergeCell ref="W76:X79"/>
    <mergeCell ref="Y76:Z77"/>
    <mergeCell ref="Y78:Z79"/>
    <mergeCell ref="D50:D51"/>
    <mergeCell ref="E50:E51"/>
    <mergeCell ref="W49:X52"/>
    <mergeCell ref="Y49:Z50"/>
    <mergeCell ref="Y51:Z52"/>
    <mergeCell ref="G59:H61"/>
    <mergeCell ref="U59:V61"/>
    <mergeCell ref="I59:J61"/>
    <mergeCell ref="K59:L61"/>
    <mergeCell ref="M59:N61"/>
    <mergeCell ref="Q59:R61"/>
    <mergeCell ref="S59:T61"/>
    <mergeCell ref="D59:D60"/>
    <mergeCell ref="E59:E60"/>
    <mergeCell ref="W58:X61"/>
    <mergeCell ref="Y58:Z59"/>
    <mergeCell ref="Y60:Z61"/>
    <mergeCell ref="U63:V63"/>
    <mergeCell ref="U50:V52"/>
    <mergeCell ref="E41:E42"/>
    <mergeCell ref="AC40:AD40"/>
    <mergeCell ref="AC37:AD38"/>
    <mergeCell ref="AC36:AD36"/>
    <mergeCell ref="S36:T36"/>
    <mergeCell ref="U36:V36"/>
    <mergeCell ref="U37:V38"/>
    <mergeCell ref="G36:H36"/>
    <mergeCell ref="I36:J36"/>
    <mergeCell ref="AA37:AB38"/>
    <mergeCell ref="AE27:AF27"/>
    <mergeCell ref="AE28:AF29"/>
    <mergeCell ref="AC31:AD31"/>
    <mergeCell ref="AA31:AB34"/>
    <mergeCell ref="AE23:AF25"/>
    <mergeCell ref="AC13:AD13"/>
    <mergeCell ref="K18:L18"/>
    <mergeCell ref="S18:T18"/>
    <mergeCell ref="U18:V18"/>
    <mergeCell ref="AC18:AD18"/>
    <mergeCell ref="K19:L20"/>
    <mergeCell ref="S19:T20"/>
    <mergeCell ref="U19:V20"/>
    <mergeCell ref="AC19:AD20"/>
    <mergeCell ref="AE18:AF18"/>
    <mergeCell ref="Y18:Z18"/>
    <mergeCell ref="AA18:AB18"/>
    <mergeCell ref="Q18:R18"/>
    <mergeCell ref="W18:X18"/>
    <mergeCell ref="AE22:AF22"/>
    <mergeCell ref="S22:T22"/>
    <mergeCell ref="U22:V22"/>
    <mergeCell ref="AE32:AF34"/>
    <mergeCell ref="AE31:AF31"/>
    <mergeCell ref="I32:J34"/>
    <mergeCell ref="K32:L34"/>
    <mergeCell ref="M32:N34"/>
    <mergeCell ref="Q32:R34"/>
    <mergeCell ref="S32:T34"/>
    <mergeCell ref="AC32:AD34"/>
    <mergeCell ref="W31:X34"/>
    <mergeCell ref="Y31:Z32"/>
    <mergeCell ref="Y33:Z34"/>
    <mergeCell ref="K64:L65"/>
    <mergeCell ref="S64:T65"/>
    <mergeCell ref="U64:V65"/>
    <mergeCell ref="AC64:AD65"/>
    <mergeCell ref="K58:L58"/>
    <mergeCell ref="M58:N58"/>
    <mergeCell ref="O58:P61"/>
    <mergeCell ref="M64:N65"/>
    <mergeCell ref="O64:P65"/>
    <mergeCell ref="Q64:R65"/>
    <mergeCell ref="A1:AF2"/>
    <mergeCell ref="B4:B11"/>
    <mergeCell ref="C4:C11"/>
    <mergeCell ref="AE4:AF4"/>
    <mergeCell ref="Q4:R4"/>
    <mergeCell ref="S4:T4"/>
    <mergeCell ref="U4:V4"/>
    <mergeCell ref="Y10:Z11"/>
    <mergeCell ref="Y9:Z9"/>
    <mergeCell ref="G9:H9"/>
    <mergeCell ref="I9:J9"/>
    <mergeCell ref="M9:N9"/>
    <mergeCell ref="O9:P9"/>
    <mergeCell ref="AA9:AB9"/>
    <mergeCell ref="AE9:AF9"/>
    <mergeCell ref="AA10:AB11"/>
    <mergeCell ref="AE10:AF11"/>
    <mergeCell ref="G10:H11"/>
    <mergeCell ref="G4:H4"/>
    <mergeCell ref="I4:J4"/>
    <mergeCell ref="E5:E6"/>
    <mergeCell ref="O4:P7"/>
    <mergeCell ref="Q9:R9"/>
    <mergeCell ref="Q10:R11"/>
    <mergeCell ref="B13:B20"/>
    <mergeCell ref="C13:C20"/>
    <mergeCell ref="G13:H13"/>
    <mergeCell ref="I13:J13"/>
    <mergeCell ref="AE13:AF13"/>
    <mergeCell ref="Q13:R13"/>
    <mergeCell ref="AE19:AF20"/>
    <mergeCell ref="G19:H20"/>
    <mergeCell ref="I19:J20"/>
    <mergeCell ref="M19:N20"/>
    <mergeCell ref="O19:P20"/>
    <mergeCell ref="Y19:Z20"/>
    <mergeCell ref="AA19:AB20"/>
    <mergeCell ref="G18:H18"/>
    <mergeCell ref="I18:J18"/>
    <mergeCell ref="M18:N18"/>
    <mergeCell ref="E14:E15"/>
    <mergeCell ref="U14:V16"/>
    <mergeCell ref="AC27:AD27"/>
    <mergeCell ref="K28:L29"/>
    <mergeCell ref="S28:T29"/>
    <mergeCell ref="U28:V29"/>
    <mergeCell ref="O27:P27"/>
    <mergeCell ref="S27:T27"/>
    <mergeCell ref="AA28:AB29"/>
    <mergeCell ref="AC28:AD29"/>
    <mergeCell ref="Y27:Z27"/>
    <mergeCell ref="Y28:Z29"/>
    <mergeCell ref="AA27:AB27"/>
    <mergeCell ref="AC23:AD25"/>
    <mergeCell ref="U23:V25"/>
    <mergeCell ref="AC14:AD16"/>
    <mergeCell ref="M22:N22"/>
    <mergeCell ref="Q19:R20"/>
    <mergeCell ref="O18:P18"/>
    <mergeCell ref="O13:P16"/>
    <mergeCell ref="E23:E24"/>
    <mergeCell ref="B31:B38"/>
    <mergeCell ref="C31:C38"/>
    <mergeCell ref="G31:H31"/>
    <mergeCell ref="I31:J31"/>
    <mergeCell ref="Q31:R31"/>
    <mergeCell ref="O28:P29"/>
    <mergeCell ref="K36:L36"/>
    <mergeCell ref="K37:L38"/>
    <mergeCell ref="B22:B29"/>
    <mergeCell ref="C22:C29"/>
    <mergeCell ref="G22:H22"/>
    <mergeCell ref="I22:J22"/>
    <mergeCell ref="Q22:R22"/>
    <mergeCell ref="K31:L31"/>
    <mergeCell ref="M31:N31"/>
    <mergeCell ref="O31:P34"/>
    <mergeCell ref="K22:L22"/>
    <mergeCell ref="K27:L27"/>
    <mergeCell ref="G28:H29"/>
    <mergeCell ref="I28:J29"/>
    <mergeCell ref="Q27:R27"/>
    <mergeCell ref="Q28:R29"/>
    <mergeCell ref="M28:N29"/>
    <mergeCell ref="O22:P25"/>
    <mergeCell ref="B40:B47"/>
    <mergeCell ref="C40:C47"/>
    <mergeCell ref="G40:H40"/>
    <mergeCell ref="I40:J40"/>
    <mergeCell ref="G27:H27"/>
    <mergeCell ref="I27:J27"/>
    <mergeCell ref="M27:N27"/>
    <mergeCell ref="G32:H34"/>
    <mergeCell ref="D32:D33"/>
    <mergeCell ref="E32:E33"/>
    <mergeCell ref="G41:H43"/>
    <mergeCell ref="I41:J43"/>
    <mergeCell ref="K41:L43"/>
    <mergeCell ref="M41:N43"/>
    <mergeCell ref="Q41:R43"/>
    <mergeCell ref="D41:D42"/>
    <mergeCell ref="I46:J47"/>
    <mergeCell ref="G45:H45"/>
    <mergeCell ref="I45:J45"/>
    <mergeCell ref="M45:N45"/>
    <mergeCell ref="O45:P45"/>
    <mergeCell ref="Q45:R45"/>
    <mergeCell ref="M46:N47"/>
    <mergeCell ref="O46:P47"/>
    <mergeCell ref="Q46:R47"/>
    <mergeCell ref="AE37:AF38"/>
    <mergeCell ref="AE40:AF40"/>
    <mergeCell ref="Y36:Z36"/>
    <mergeCell ref="AA36:AB36"/>
    <mergeCell ref="AE36:AF36"/>
    <mergeCell ref="G37:H38"/>
    <mergeCell ref="I37:J38"/>
    <mergeCell ref="M36:N36"/>
    <mergeCell ref="O36:P36"/>
    <mergeCell ref="M37:N38"/>
    <mergeCell ref="O37:P38"/>
    <mergeCell ref="Q36:R36"/>
    <mergeCell ref="U40:V40"/>
    <mergeCell ref="Q40:R40"/>
    <mergeCell ref="S40:T40"/>
    <mergeCell ref="K40:L40"/>
    <mergeCell ref="M40:N40"/>
    <mergeCell ref="O40:P43"/>
    <mergeCell ref="U41:V43"/>
    <mergeCell ref="AE41:AF43"/>
    <mergeCell ref="S41:T43"/>
    <mergeCell ref="AC41:AD43"/>
    <mergeCell ref="W40:X43"/>
    <mergeCell ref="Y40:Z41"/>
    <mergeCell ref="AE45:AF45"/>
    <mergeCell ref="Y46:Z47"/>
    <mergeCell ref="AA46:AB47"/>
    <mergeCell ref="AE46:AF47"/>
    <mergeCell ref="G50:H52"/>
    <mergeCell ref="I50:J52"/>
    <mergeCell ref="AE49:AF49"/>
    <mergeCell ref="I49:J49"/>
    <mergeCell ref="Q49:R49"/>
    <mergeCell ref="S49:T49"/>
    <mergeCell ref="U49:V49"/>
    <mergeCell ref="AC49:AD49"/>
    <mergeCell ref="K49:L49"/>
    <mergeCell ref="M49:N49"/>
    <mergeCell ref="O49:P52"/>
    <mergeCell ref="AA49:AB52"/>
    <mergeCell ref="AE50:AF52"/>
    <mergeCell ref="K50:L52"/>
    <mergeCell ref="M50:N52"/>
    <mergeCell ref="Q50:R52"/>
    <mergeCell ref="S50:T52"/>
    <mergeCell ref="K46:L47"/>
    <mergeCell ref="S46:T47"/>
    <mergeCell ref="G46:H47"/>
    <mergeCell ref="AE55:AF56"/>
    <mergeCell ref="AC54:AD54"/>
    <mergeCell ref="AC55:AD56"/>
    <mergeCell ref="U56:V56"/>
    <mergeCell ref="AC58:AD58"/>
    <mergeCell ref="K63:L63"/>
    <mergeCell ref="AA58:AB61"/>
    <mergeCell ref="K54:L54"/>
    <mergeCell ref="S54:T54"/>
    <mergeCell ref="U54:V54"/>
    <mergeCell ref="K55:L56"/>
    <mergeCell ref="S55:T56"/>
    <mergeCell ref="Y54:Z54"/>
    <mergeCell ref="W54:X54"/>
    <mergeCell ref="W55:X56"/>
    <mergeCell ref="AC63:AD63"/>
    <mergeCell ref="Y55:Z56"/>
    <mergeCell ref="AA55:AB56"/>
    <mergeCell ref="G55:H56"/>
    <mergeCell ref="I55:J56"/>
    <mergeCell ref="M54:N54"/>
    <mergeCell ref="O54:P54"/>
    <mergeCell ref="Q54:R54"/>
    <mergeCell ref="M55:N56"/>
    <mergeCell ref="O55:P56"/>
    <mergeCell ref="G54:H54"/>
    <mergeCell ref="I54:J54"/>
    <mergeCell ref="B49:B56"/>
    <mergeCell ref="C49:C56"/>
    <mergeCell ref="G49:H49"/>
    <mergeCell ref="Y63:Z63"/>
    <mergeCell ref="AA63:AB63"/>
    <mergeCell ref="AE63:AF63"/>
    <mergeCell ref="Y64:Z65"/>
    <mergeCell ref="AA64:AB65"/>
    <mergeCell ref="AE64:AF65"/>
    <mergeCell ref="G64:H65"/>
    <mergeCell ref="AE58:AF58"/>
    <mergeCell ref="B58:B65"/>
    <mergeCell ref="C58:C65"/>
    <mergeCell ref="G58:H58"/>
    <mergeCell ref="I58:J58"/>
    <mergeCell ref="U58:V58"/>
    <mergeCell ref="I64:J65"/>
    <mergeCell ref="M63:N63"/>
    <mergeCell ref="O63:P63"/>
    <mergeCell ref="Q63:R63"/>
    <mergeCell ref="AC50:AD52"/>
    <mergeCell ref="G63:H63"/>
    <mergeCell ref="I63:J63"/>
    <mergeCell ref="AE54:AF54"/>
    <mergeCell ref="AE67:AF67"/>
    <mergeCell ref="I67:J67"/>
    <mergeCell ref="Q67:R67"/>
    <mergeCell ref="S67:T67"/>
    <mergeCell ref="U67:V67"/>
    <mergeCell ref="AC67:AD67"/>
    <mergeCell ref="AA67:AB70"/>
    <mergeCell ref="U68:V70"/>
    <mergeCell ref="AE68:AF70"/>
    <mergeCell ref="I68:J70"/>
    <mergeCell ref="K68:L70"/>
    <mergeCell ref="M68:N70"/>
    <mergeCell ref="Q68:R70"/>
    <mergeCell ref="S68:T70"/>
    <mergeCell ref="AC68:AD70"/>
    <mergeCell ref="AE72:AF72"/>
    <mergeCell ref="G73:H74"/>
    <mergeCell ref="I73:J74"/>
    <mergeCell ref="M72:N72"/>
    <mergeCell ref="O72:P72"/>
    <mergeCell ref="M73:N74"/>
    <mergeCell ref="O73:P74"/>
    <mergeCell ref="W73:X74"/>
    <mergeCell ref="G72:H72"/>
    <mergeCell ref="I72:J72"/>
    <mergeCell ref="Y73:Z74"/>
    <mergeCell ref="Y72:Z72"/>
    <mergeCell ref="W72:X72"/>
    <mergeCell ref="Q72:R72"/>
    <mergeCell ref="AA73:AB74"/>
    <mergeCell ref="AE73:AF74"/>
    <mergeCell ref="AC72:AD72"/>
    <mergeCell ref="S73:T74"/>
    <mergeCell ref="AC73:AD74"/>
    <mergeCell ref="AE76:AF76"/>
    <mergeCell ref="S76:T76"/>
    <mergeCell ref="U76:V76"/>
    <mergeCell ref="AC76:AD76"/>
    <mergeCell ref="AA76:AB79"/>
    <mergeCell ref="B67:B74"/>
    <mergeCell ref="C67:C74"/>
    <mergeCell ref="G67:H67"/>
    <mergeCell ref="Q76:R76"/>
    <mergeCell ref="B76:B83"/>
    <mergeCell ref="C76:C83"/>
    <mergeCell ref="G76:H76"/>
    <mergeCell ref="I76:J76"/>
    <mergeCell ref="K72:L72"/>
    <mergeCell ref="K73:L74"/>
    <mergeCell ref="K76:L76"/>
    <mergeCell ref="M76:N76"/>
    <mergeCell ref="O76:P79"/>
    <mergeCell ref="K67:L67"/>
    <mergeCell ref="M67:N67"/>
    <mergeCell ref="O67:P70"/>
    <mergeCell ref="G68:H70"/>
    <mergeCell ref="D68:D69"/>
    <mergeCell ref="E68:E69"/>
    <mergeCell ref="G77:H79"/>
    <mergeCell ref="AE81:AF81"/>
    <mergeCell ref="G82:H83"/>
    <mergeCell ref="I82:J83"/>
    <mergeCell ref="M81:N81"/>
    <mergeCell ref="O81:P81"/>
    <mergeCell ref="Q81:R81"/>
    <mergeCell ref="M82:N83"/>
    <mergeCell ref="O82:P83"/>
    <mergeCell ref="Q82:R83"/>
    <mergeCell ref="G81:H81"/>
    <mergeCell ref="Y82:Z83"/>
    <mergeCell ref="AA82:AB83"/>
    <mergeCell ref="AE82:AF83"/>
    <mergeCell ref="Y81:Z81"/>
    <mergeCell ref="K81:L81"/>
    <mergeCell ref="K82:L83"/>
    <mergeCell ref="S81:T81"/>
    <mergeCell ref="U81:V81"/>
    <mergeCell ref="S82:T83"/>
    <mergeCell ref="U82:V83"/>
    <mergeCell ref="I81:J81"/>
    <mergeCell ref="AC81:AD81"/>
    <mergeCell ref="AC82:AD83"/>
    <mergeCell ref="U47:V47"/>
    <mergeCell ref="Y45:Z45"/>
    <mergeCell ref="W82:X83"/>
    <mergeCell ref="W9:X9"/>
    <mergeCell ref="W10:X11"/>
    <mergeCell ref="W36:X36"/>
    <mergeCell ref="W37:X38"/>
    <mergeCell ref="W63:X63"/>
    <mergeCell ref="W64:X65"/>
    <mergeCell ref="W45:X45"/>
    <mergeCell ref="W46:X47"/>
    <mergeCell ref="W67:X70"/>
    <mergeCell ref="W27:X27"/>
    <mergeCell ref="W28:X29"/>
    <mergeCell ref="W19:X20"/>
    <mergeCell ref="Y37:Z38"/>
    <mergeCell ref="U27:V27"/>
    <mergeCell ref="U32:V34"/>
    <mergeCell ref="Y69:Z70"/>
    <mergeCell ref="W81:X81"/>
    <mergeCell ref="AA22:AB25"/>
    <mergeCell ref="Y42:Z43"/>
    <mergeCell ref="Y4:Z5"/>
    <mergeCell ref="Y6:Z7"/>
    <mergeCell ref="Q14:R16"/>
    <mergeCell ref="S14:T16"/>
    <mergeCell ref="AA81:AB81"/>
    <mergeCell ref="AA72:AB72"/>
    <mergeCell ref="Q58:R58"/>
    <mergeCell ref="S58:T58"/>
    <mergeCell ref="U72:V72"/>
    <mergeCell ref="U73:V74"/>
    <mergeCell ref="S72:T72"/>
    <mergeCell ref="S31:T31"/>
    <mergeCell ref="U31:V31"/>
    <mergeCell ref="AA54:AB54"/>
    <mergeCell ref="S37:T38"/>
    <mergeCell ref="Q73:R74"/>
    <mergeCell ref="Q37:R38"/>
    <mergeCell ref="Q55:R56"/>
    <mergeCell ref="AA45:AB45"/>
    <mergeCell ref="S63:T63"/>
    <mergeCell ref="AA40:AB43"/>
    <mergeCell ref="Y67:Z68"/>
    <mergeCell ref="D23:D24"/>
    <mergeCell ref="D14:D15"/>
    <mergeCell ref="D5:D6"/>
    <mergeCell ref="W22:X25"/>
    <mergeCell ref="Y22:Z23"/>
    <mergeCell ref="Y24:Z25"/>
    <mergeCell ref="G23:H25"/>
    <mergeCell ref="I23:J25"/>
    <mergeCell ref="K23:L25"/>
    <mergeCell ref="M23:N25"/>
    <mergeCell ref="Q23:R25"/>
    <mergeCell ref="S23:T25"/>
    <mergeCell ref="G14:H16"/>
    <mergeCell ref="I14:J16"/>
    <mergeCell ref="K14:L16"/>
    <mergeCell ref="M14:N16"/>
    <mergeCell ref="I10:J11"/>
    <mergeCell ref="K9:L9"/>
    <mergeCell ref="K10:L11"/>
    <mergeCell ref="S10:V11"/>
    <mergeCell ref="S9:V9"/>
    <mergeCell ref="W4:X7"/>
    <mergeCell ref="M10:N11"/>
    <mergeCell ref="O10:P11"/>
    <mergeCell ref="AC5:AD7"/>
    <mergeCell ref="AE5:AF7"/>
    <mergeCell ref="W13:X16"/>
    <mergeCell ref="Y13:Z14"/>
    <mergeCell ref="G5:H7"/>
    <mergeCell ref="I5:J7"/>
    <mergeCell ref="K5:L7"/>
    <mergeCell ref="M5:N7"/>
    <mergeCell ref="Q5:R7"/>
    <mergeCell ref="S5:T7"/>
    <mergeCell ref="U5:V7"/>
    <mergeCell ref="AE14:AF16"/>
    <mergeCell ref="AA4:AB7"/>
    <mergeCell ref="AA13:AB16"/>
    <mergeCell ref="AC10:AD11"/>
    <mergeCell ref="AC4:AD4"/>
    <mergeCell ref="AC9:AD9"/>
    <mergeCell ref="K4:L4"/>
    <mergeCell ref="M4:N4"/>
    <mergeCell ref="S13:T13"/>
    <mergeCell ref="U13:V13"/>
    <mergeCell ref="K13:L13"/>
    <mergeCell ref="M13:N13"/>
    <mergeCell ref="Y15:Z16"/>
  </mergeCells>
  <phoneticPr fontId="1"/>
  <pageMargins left="0" right="0" top="0" bottom="0" header="0" footer="0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R下妻</vt:lpstr>
      <vt:lpstr>R下妻!Print_Area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syoya</dc:creator>
  <cp:lastModifiedBy>user</cp:lastModifiedBy>
  <cp:lastPrinted>2026-03-07T11:22:29Z</cp:lastPrinted>
  <dcterms:created xsi:type="dcterms:W3CDTF">2022-03-15T13:31:07Z</dcterms:created>
  <dcterms:modified xsi:type="dcterms:W3CDTF">2026-03-07T16:23:52Z</dcterms:modified>
</cp:coreProperties>
</file>